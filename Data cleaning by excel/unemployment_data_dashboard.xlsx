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23480\Documents\"/>
    </mc:Choice>
  </mc:AlternateContent>
  <bookViews>
    <workbookView xWindow="0" yWindow="0" windowWidth="19200" windowHeight="6970" tabRatio="599" activeTab="1"/>
  </bookViews>
  <sheets>
    <sheet name="Sheet2" sheetId="2" r:id="rId1"/>
    <sheet name="Sheet4" sheetId="4" r:id="rId2"/>
  </sheets>
  <definedNames>
    <definedName name="Slicer_Country">#N/A</definedName>
  </definedNames>
  <calcPr calcId="152511"/>
  <pivotCaches>
    <pivotCache cacheId="0" r:id="rId3"/>
    <pivotCache cacheId="1" r:id="rId4"/>
    <pivotCache cacheId="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0" i="2" l="1"/>
</calcChain>
</file>

<file path=xl/sharedStrings.xml><?xml version="1.0" encoding="utf-8"?>
<sst xmlns="http://schemas.openxmlformats.org/spreadsheetml/2006/main" count="38" uniqueCount="8">
  <si>
    <t>Nigeria</t>
  </si>
  <si>
    <t>Ghana</t>
  </si>
  <si>
    <t>Row Labels</t>
  </si>
  <si>
    <t>Grand Total</t>
  </si>
  <si>
    <t>Column Labels</t>
  </si>
  <si>
    <t>Sum of Unemployment_Rate</t>
  </si>
  <si>
    <t>Sum of Youth_Unemployment</t>
  </si>
  <si>
    <t>Sum of Population_Millions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</si>
</sst>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style="thin">
        <color theme="4" tint="0.39997558519241921"/>
      </top>
      <bottom/>
      <diagonal/>
    </border>
  </borders>
  <cellStyleXfs count="1">
    <xf numFmtId="0" fontId="0" fillId="0" borderId="0"/>
  </cellStyleXfs>
  <cellXfs count="16">
    <xf numFmtId="0" fontId="0" fillId="0" borderId="0" xfId="0"/>
    <xf numFmtId="0" fontId="0" fillId="0" borderId="0" xfId="0" pivotButton="1"/>
    <xf numFmtId="0" fontId="0" fillId="0" borderId="0" xfId="0" applyNumberFormat="1"/>
    <xf numFmtId="1" fontId="0" fillId="0" borderId="0" xfId="0" applyNumberFormat="1"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left"/>
    </xf>
    <xf numFmtId="0" fontId="1" fillId="2" borderId="10" xfId="0" applyNumberFormat="1" applyFont="1" applyFill="1" applyBorder="1"/>
    <xf numFmtId="16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3.xml"/><Relationship Id="rId10" Type="http://schemas.openxmlformats.org/officeDocument/2006/relationships/calcChain" Target="calcChain.xml"/><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[unemployment_data_cleaned.xlsx]Sheet2!PivotTable2</c:name>
    <c:fmtId val="3"/>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213648293963254"/>
          <c:y val="0.13653944298629339"/>
          <c:w val="0.83891863517060372"/>
          <c:h val="0.67663276465441824"/>
        </c:manualLayout>
      </c:layout>
      <c:lineChart>
        <c:grouping val="standard"/>
        <c:varyColors val="0"/>
        <c:ser>
          <c:idx val="0"/>
          <c:order val="0"/>
          <c:tx>
            <c:strRef>
              <c:f>Sheet2!$I$4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Sheet2!$H$5:$H$10</c:f>
              <c:strCache>
                <c:ptCount val="5"/>
                <c:pt idx="0">
                  <c:v>2018</c:v>
                </c:pt>
                <c:pt idx="1">
                  <c:v>2019</c:v>
                </c:pt>
                <c:pt idx="2">
                  <c:v>2020</c:v>
                </c:pt>
                <c:pt idx="3">
                  <c:v>2021</c:v>
                </c:pt>
                <c:pt idx="4">
                  <c:v>2022</c:v>
                </c:pt>
              </c:strCache>
            </c:strRef>
          </c:cat>
          <c:val>
            <c:numRef>
              <c:f>Sheet2!$I$5:$I$10</c:f>
              <c:numCache>
                <c:formatCode>General</c:formatCode>
                <c:ptCount val="5"/>
                <c:pt idx="0">
                  <c:v>29.8</c:v>
                </c:pt>
                <c:pt idx="1">
                  <c:v>34.200000000000003</c:v>
                </c:pt>
                <c:pt idx="2">
                  <c:v>41.8</c:v>
                </c:pt>
                <c:pt idx="3">
                  <c:v>40.4</c:v>
                </c:pt>
                <c:pt idx="4">
                  <c:v>37.800000000000004</c:v>
                </c:pt>
              </c:numCache>
            </c:numRef>
          </c:val>
          <c:smooth val="0"/>
        </c:ser>
        <c:dLbls>
          <c:dLblPos val="t"/>
          <c:showLegendKey val="0"/>
          <c:showVal val="1"/>
          <c:showCatName val="0"/>
          <c:showSerName val="0"/>
          <c:showPercent val="0"/>
          <c:showBubbleSize val="0"/>
        </c:dLbls>
        <c:marker val="1"/>
        <c:smooth val="0"/>
        <c:axId val="292355800"/>
        <c:axId val="292357368"/>
      </c:lineChart>
      <c:catAx>
        <c:axId val="292355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357368"/>
        <c:crosses val="autoZero"/>
        <c:auto val="1"/>
        <c:lblAlgn val="ctr"/>
        <c:lblOffset val="100"/>
        <c:noMultiLvlLbl val="0"/>
      </c:catAx>
      <c:valAx>
        <c:axId val="292357368"/>
        <c:scaling>
          <c:orientation val="minMax"/>
        </c:scaling>
        <c:delete val="1"/>
        <c:axPos val="l"/>
        <c:numFmt formatCode="General" sourceLinked="1"/>
        <c:majorTickMark val="out"/>
        <c:minorTickMark val="none"/>
        <c:tickLblPos val="nextTo"/>
        <c:crossAx val="292355800"/>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[unemployment_data_cleaned.xlsx]Sheet2!PivotTable4</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Youth unemployment per country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4"/>
          </a:solidFill>
          <a:ln>
            <a:noFill/>
          </a:ln>
          <a:effectLst/>
        </c:spPr>
      </c:pivotFmt>
      <c:pivotFmt>
        <c:idx val="2"/>
        <c:spPr>
          <a:solidFill>
            <a:schemeClr val="accent4"/>
          </a:solidFill>
          <a:ln>
            <a:noFill/>
          </a:ln>
          <a:effectLst/>
        </c:spPr>
      </c:pivotFmt>
    </c:pivotFmts>
    <c:plotArea>
      <c:layout/>
      <c:barChart>
        <c:barDir val="bar"/>
        <c:grouping val="clustered"/>
        <c:varyColors val="0"/>
        <c:ser>
          <c:idx val="0"/>
          <c:order val="0"/>
          <c:tx>
            <c:strRef>
              <c:f>Sheet2!$Q$9</c:f>
              <c:strCache>
                <c:ptCount val="1"/>
                <c:pt idx="0">
                  <c:v>Total</c:v>
                </c:pt>
              </c:strCache>
            </c:strRef>
          </c:tx>
          <c:spPr>
            <a:solidFill>
              <a:schemeClr val="accent4"/>
            </a:solidFill>
            <a:ln>
              <a:noFill/>
            </a:ln>
            <a:effectLst/>
          </c:spPr>
          <c:invertIfNegative val="0"/>
          <c:dPt>
            <c:idx val="0"/>
            <c:invertIfNegative val="0"/>
            <c:bubble3D val="0"/>
          </c:dPt>
          <c:dPt>
            <c:idx val="1"/>
            <c:invertIfNegative val="0"/>
            <c:bubble3D val="0"/>
            <c:spPr>
              <a:solidFill>
                <a:schemeClr val="accent4"/>
              </a:solidFill>
              <a:ln>
                <a:no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Sheet2!$P$10:$P$12</c:f>
              <c:strCache>
                <c:ptCount val="2"/>
                <c:pt idx="0">
                  <c:v>Ghana</c:v>
                </c:pt>
                <c:pt idx="1">
                  <c:v>Nigeria</c:v>
                </c:pt>
              </c:strCache>
            </c:strRef>
          </c:cat>
          <c:val>
            <c:numRef>
              <c:f>Sheet2!$Q$10:$Q$12</c:f>
              <c:numCache>
                <c:formatCode>General</c:formatCode>
                <c:ptCount val="2"/>
                <c:pt idx="0">
                  <c:v>66</c:v>
                </c:pt>
                <c:pt idx="1">
                  <c:v>198.8</c:v>
                </c:pt>
              </c:numCache>
            </c:numRef>
          </c:val>
        </c:ser>
        <c:dLbls>
          <c:dLblPos val="outEnd"/>
          <c:showLegendKey val="0"/>
          <c:showVal val="1"/>
          <c:showCatName val="0"/>
          <c:showSerName val="0"/>
          <c:showPercent val="0"/>
          <c:showBubbleSize val="0"/>
        </c:dLbls>
        <c:gapWidth val="182"/>
        <c:axId val="292355408"/>
        <c:axId val="292356192"/>
      </c:barChart>
      <c:catAx>
        <c:axId val="2923554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92356192"/>
        <c:crosses val="autoZero"/>
        <c:auto val="1"/>
        <c:lblAlgn val="ctr"/>
        <c:lblOffset val="100"/>
        <c:noMultiLvlLbl val="0"/>
      </c:catAx>
      <c:valAx>
        <c:axId val="292356192"/>
        <c:scaling>
          <c:orientation val="minMax"/>
        </c:scaling>
        <c:delete val="1"/>
        <c:axPos val="b"/>
        <c:numFmt formatCode="General" sourceLinked="1"/>
        <c:majorTickMark val="none"/>
        <c:minorTickMark val="none"/>
        <c:tickLblPos val="nextTo"/>
        <c:crossAx val="292355408"/>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[unemployment_data_cleaned.xlsx]Sheet2!PivotTable5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Sheet2!$X$8:$X$9</c:f>
              <c:strCache>
                <c:ptCount val="1"/>
                <c:pt idx="0">
                  <c:v>Ghana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Sheet2!$W$10:$W$15</c:f>
              <c:strCache>
                <c:ptCount val="5"/>
                <c:pt idx="0">
                  <c:v>2018</c:v>
                </c:pt>
                <c:pt idx="1">
                  <c:v>2019</c:v>
                </c:pt>
                <c:pt idx="2">
                  <c:v>2020</c:v>
                </c:pt>
                <c:pt idx="3">
                  <c:v>2021</c:v>
                </c:pt>
                <c:pt idx="4">
                  <c:v>2022</c:v>
                </c:pt>
              </c:strCache>
            </c:strRef>
          </c:cat>
          <c:val>
            <c:numRef>
              <c:f>Sheet2!$X$10:$X$15</c:f>
              <c:numCache>
                <c:formatCode>General</c:formatCode>
                <c:ptCount val="5"/>
                <c:pt idx="0">
                  <c:v>29</c:v>
                </c:pt>
                <c:pt idx="1">
                  <c:v>30</c:v>
                </c:pt>
                <c:pt idx="2">
                  <c:v>31</c:v>
                </c:pt>
                <c:pt idx="3">
                  <c:v>32</c:v>
                </c:pt>
                <c:pt idx="4">
                  <c:v>33</c:v>
                </c:pt>
              </c:numCache>
            </c:numRef>
          </c:val>
        </c:ser>
        <c:ser>
          <c:idx val="1"/>
          <c:order val="1"/>
          <c:tx>
            <c:strRef>
              <c:f>Sheet2!$Y$8:$Y$9</c:f>
              <c:strCache>
                <c:ptCount val="1"/>
                <c:pt idx="0">
                  <c:v>Nigeria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Sheet2!$W$10:$W$15</c:f>
              <c:strCache>
                <c:ptCount val="5"/>
                <c:pt idx="0">
                  <c:v>2018</c:v>
                </c:pt>
                <c:pt idx="1">
                  <c:v>2019</c:v>
                </c:pt>
                <c:pt idx="2">
                  <c:v>2020</c:v>
                </c:pt>
                <c:pt idx="3">
                  <c:v>2021</c:v>
                </c:pt>
                <c:pt idx="4">
                  <c:v>2022</c:v>
                </c:pt>
              </c:strCache>
            </c:strRef>
          </c:cat>
          <c:val>
            <c:numRef>
              <c:f>Sheet2!$Y$10:$Y$15</c:f>
              <c:numCache>
                <c:formatCode>General</c:formatCode>
                <c:ptCount val="5"/>
                <c:pt idx="0">
                  <c:v>195</c:v>
                </c:pt>
                <c:pt idx="1">
                  <c:v>200</c:v>
                </c:pt>
                <c:pt idx="2">
                  <c:v>206</c:v>
                </c:pt>
                <c:pt idx="3">
                  <c:v>211</c:v>
                </c:pt>
                <c:pt idx="4">
                  <c:v>216</c:v>
                </c:pt>
              </c:numCache>
            </c:numRef>
          </c:val>
        </c:ser>
        <c:dLbls>
          <c:dLblPos val="outEnd"/>
          <c:showLegendKey val="0"/>
          <c:showVal val="1"/>
          <c:showCatName val="0"/>
          <c:showSerName val="0"/>
          <c:showPercent val="0"/>
          <c:showBubbleSize val="0"/>
        </c:dLbls>
        <c:gapWidth val="219"/>
        <c:overlap val="-27"/>
        <c:axId val="292350704"/>
        <c:axId val="292548168"/>
      </c:barChart>
      <c:catAx>
        <c:axId val="29235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548168"/>
        <c:crosses val="autoZero"/>
        <c:auto val="1"/>
        <c:lblAlgn val="ctr"/>
        <c:lblOffset val="100"/>
        <c:noMultiLvlLbl val="0"/>
      </c:catAx>
      <c:valAx>
        <c:axId val="292548168"/>
        <c:scaling>
          <c:orientation val="minMax"/>
        </c:scaling>
        <c:delete val="1"/>
        <c:axPos val="l"/>
        <c:numFmt formatCode="General" sourceLinked="1"/>
        <c:majorTickMark val="none"/>
        <c:minorTickMark val="none"/>
        <c:tickLblPos val="nextTo"/>
        <c:crossAx val="29235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[unemployment_data_cleaned.xlsx]Sheet2!PivotTable2</c:name>
    <c:fmtId val="7"/>
  </c:pivotSource>
  <c:chart>
    <c:title>
      <c:tx>
        <c:rich>
          <a:bodyPr rot="0" spcFirstLastPara="1" vertOverflow="ellipsis" vert="horz" wrap="square" anchor="ctr" anchorCtr="1"/>
          <a:lstStyle/>
          <a:p>
            <a:pPr>
              <a:defRPr sz="900" b="0" i="0" u="none" strike="noStrike" kern="1200" spc="0" baseline="0">
                <a:solidFill>
                  <a:schemeClr val="bg1"/>
                </a:solidFill>
                <a:latin typeface="+mn-lt"/>
                <a:ea typeface="+mn-ea"/>
                <a:cs typeface="+mn-cs"/>
              </a:defRPr>
            </a:pPr>
            <a:r>
              <a:rPr lang="en-US" sz="900">
                <a:solidFill>
                  <a:schemeClr val="bg1"/>
                </a:solidFill>
              </a:rPr>
              <a:t>Unemployment</a:t>
            </a:r>
            <a:r>
              <a:rPr lang="en-US" sz="900" baseline="0">
                <a:solidFill>
                  <a:schemeClr val="bg1"/>
                </a:solidFill>
              </a:rPr>
              <a:t> trend per year</a:t>
            </a:r>
            <a:endParaRPr lang="en-US" sz="900">
              <a:solidFill>
                <a:schemeClr val="bg1"/>
              </a:solidFill>
            </a:endParaRPr>
          </a:p>
        </c:rich>
      </c:tx>
      <c:layout>
        <c:manualLayout>
          <c:xMode val="edge"/>
          <c:yMode val="edge"/>
          <c:x val="4.3315910942166705E-2"/>
          <c:y val="4.3668397833249557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circle"/>
          <c:size val="5"/>
          <c:spPr>
            <a:solidFill>
              <a:schemeClr val="bg1"/>
            </a:solidFill>
            <a:ln w="9525">
              <a:solidFill>
                <a:schemeClr val="bg1"/>
              </a:solidFill>
            </a:ln>
            <a:effectLst/>
          </c:spPr>
        </c:marker>
        <c:dLbl>
          <c:idx val="0"/>
          <c:spPr>
            <a:noFill/>
            <a:ln cap="sq">
              <a:noFill/>
              <a:prstDash val="sysDot"/>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bg1"/>
            </a:solidFill>
            <a:round/>
          </a:ln>
          <a:effectLst/>
        </c:spPr>
        <c:marker>
          <c:symbol val="circle"/>
          <c:size val="5"/>
          <c:spPr>
            <a:solidFill>
              <a:schemeClr val="bg1"/>
            </a:solidFill>
            <a:ln w="9525">
              <a:solidFill>
                <a:schemeClr val="bg1"/>
              </a:solidFill>
            </a:ln>
            <a:effectLst/>
          </c:spPr>
        </c:marker>
      </c:pivotFmt>
      <c:pivotFmt>
        <c:idx val="4"/>
        <c:spPr>
          <a:ln w="28575" cap="rnd">
            <a:solidFill>
              <a:schemeClr val="bg1"/>
            </a:solidFill>
            <a:round/>
          </a:ln>
          <a:effectLst/>
        </c:spPr>
        <c:marker>
          <c:symbol val="circle"/>
          <c:size val="5"/>
          <c:spPr>
            <a:solidFill>
              <a:schemeClr val="bg1"/>
            </a:solidFill>
            <a:ln w="9525">
              <a:solidFill>
                <a:schemeClr val="bg1"/>
              </a:solidFill>
            </a:ln>
            <a:effectLst/>
          </c:spPr>
        </c:marker>
      </c:pivotFmt>
      <c:pivotFmt>
        <c:idx val="5"/>
        <c:spPr>
          <a:ln w="28575" cap="rnd">
            <a:solidFill>
              <a:schemeClr val="bg1"/>
            </a:solidFill>
            <a:round/>
          </a:ln>
          <a:effectLst/>
        </c:spPr>
        <c:marker>
          <c:symbol val="circle"/>
          <c:size val="5"/>
          <c:spPr>
            <a:solidFill>
              <a:schemeClr val="bg1"/>
            </a:solidFill>
            <a:ln w="9525">
              <a:solidFill>
                <a:schemeClr val="bg1"/>
              </a:solidFill>
            </a:ln>
            <a:effectLst/>
          </c:spPr>
        </c:marker>
      </c:pivotFmt>
    </c:pivotFmts>
    <c:plotArea>
      <c:layout>
        <c:manualLayout>
          <c:layoutTarget val="inner"/>
          <c:xMode val="edge"/>
          <c:yMode val="edge"/>
          <c:x val="6.8020609925482312E-2"/>
          <c:y val="0.265496867636071"/>
          <c:w val="0.83891863517060372"/>
          <c:h val="0.51604862348410818"/>
        </c:manualLayout>
      </c:layout>
      <c:lineChart>
        <c:grouping val="standard"/>
        <c:varyColors val="0"/>
        <c:ser>
          <c:idx val="0"/>
          <c:order val="0"/>
          <c:tx>
            <c:strRef>
              <c:f>Sheet2!$I$4</c:f>
              <c:strCache>
                <c:ptCount val="1"/>
                <c:pt idx="0">
                  <c:v>Total</c:v>
                </c:pt>
              </c:strCache>
            </c:strRef>
          </c:tx>
          <c:spPr>
            <a:ln w="28575" cap="rnd">
              <a:solidFill>
                <a:schemeClr val="bg1"/>
              </a:solidFill>
              <a:round/>
            </a:ln>
            <a:effectLst/>
          </c:spPr>
          <c:marker>
            <c:symbol val="circle"/>
            <c:size val="5"/>
            <c:spPr>
              <a:solidFill>
                <a:schemeClr val="bg1"/>
              </a:solidFill>
              <a:ln w="9525">
                <a:solidFill>
                  <a:schemeClr val="bg1"/>
                </a:solidFill>
              </a:ln>
              <a:effectLst/>
            </c:spPr>
          </c:marker>
          <c:dLbls>
            <c:spPr>
              <a:noFill/>
              <a:ln cap="sq">
                <a:noFill/>
                <a:prstDash val="sysDot"/>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Sheet2!$H$5:$H$10</c:f>
              <c:strCache>
                <c:ptCount val="5"/>
                <c:pt idx="0">
                  <c:v>2018</c:v>
                </c:pt>
                <c:pt idx="1">
                  <c:v>2019</c:v>
                </c:pt>
                <c:pt idx="2">
                  <c:v>2020</c:v>
                </c:pt>
                <c:pt idx="3">
                  <c:v>2021</c:v>
                </c:pt>
                <c:pt idx="4">
                  <c:v>2022</c:v>
                </c:pt>
              </c:strCache>
            </c:strRef>
          </c:cat>
          <c:val>
            <c:numRef>
              <c:f>Sheet2!$I$5:$I$10</c:f>
              <c:numCache>
                <c:formatCode>General</c:formatCode>
                <c:ptCount val="5"/>
                <c:pt idx="0">
                  <c:v>29.8</c:v>
                </c:pt>
                <c:pt idx="1">
                  <c:v>34.200000000000003</c:v>
                </c:pt>
                <c:pt idx="2">
                  <c:v>41.8</c:v>
                </c:pt>
                <c:pt idx="3">
                  <c:v>40.4</c:v>
                </c:pt>
                <c:pt idx="4">
                  <c:v>37.800000000000004</c:v>
                </c:pt>
              </c:numCache>
            </c:numRef>
          </c:val>
          <c:smooth val="0"/>
        </c:ser>
        <c:dLbls>
          <c:dLblPos val="t"/>
          <c:showLegendKey val="0"/>
          <c:showVal val="1"/>
          <c:showCatName val="0"/>
          <c:showSerName val="0"/>
          <c:showPercent val="0"/>
          <c:showBubbleSize val="0"/>
        </c:dLbls>
        <c:marker val="1"/>
        <c:smooth val="0"/>
        <c:axId val="292551304"/>
        <c:axId val="292551696"/>
      </c:lineChart>
      <c:catAx>
        <c:axId val="292551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2551696"/>
        <c:crosses val="autoZero"/>
        <c:auto val="1"/>
        <c:lblAlgn val="ctr"/>
        <c:lblOffset val="100"/>
        <c:noMultiLvlLbl val="0"/>
      </c:catAx>
      <c:valAx>
        <c:axId val="292551696"/>
        <c:scaling>
          <c:orientation val="minMax"/>
        </c:scaling>
        <c:delete val="1"/>
        <c:axPos val="l"/>
        <c:numFmt formatCode="General" sourceLinked="1"/>
        <c:majorTickMark val="out"/>
        <c:minorTickMark val="none"/>
        <c:tickLblPos val="nextTo"/>
        <c:crossAx val="292551304"/>
        <c:crosses val="autoZero"/>
        <c:crossBetween val="between"/>
      </c:valAx>
      <c:spPr>
        <a:noFill/>
        <a:ln>
          <a:noFill/>
        </a:ln>
        <a:effectLst/>
      </c:spPr>
    </c:plotArea>
    <c:plotVisOnly val="1"/>
    <c:dispBlanksAs val="gap"/>
    <c:showDLblsOverMax val="0"/>
  </c:chart>
  <c:spPr>
    <a:solidFill>
      <a:schemeClr val="accent5">
        <a:lumMod val="75000"/>
      </a:schemeClr>
    </a:solidFill>
    <a:ln w="9525" cap="flat" cmpd="sng" algn="ctr">
      <a:solidFill>
        <a:schemeClr val="tx1">
          <a:lumMod val="15000"/>
          <a:lumOff val="85000"/>
        </a:schemeClr>
      </a:solidFill>
      <a:round/>
    </a:ln>
    <a:effectLst/>
    <a:scene3d>
      <a:camera prst="orthographicFront"/>
      <a:lightRig rig="threePt" dir="t"/>
    </a:scene3d>
    <a:sp3d>
      <a:bevelB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[unemployment_data_cleaned.xlsx]Sheet2!PivotTable4</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900">
                <a:solidFill>
                  <a:schemeClr val="bg1"/>
                </a:solidFill>
              </a:rPr>
              <a:t>Youth unemployment per country </a:t>
            </a:r>
          </a:p>
        </c:rich>
      </c:tx>
      <c:layout>
        <c:manualLayout>
          <c:xMode val="edge"/>
          <c:yMode val="edge"/>
          <c:x val="3.0722100656455156E-2"/>
          <c:y val="4.47761194029850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Sheet2!$Q$9</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Sheet2!$P$10:$P$12</c:f>
              <c:strCache>
                <c:ptCount val="2"/>
                <c:pt idx="0">
                  <c:v>Ghana</c:v>
                </c:pt>
                <c:pt idx="1">
                  <c:v>Nigeria</c:v>
                </c:pt>
              </c:strCache>
            </c:strRef>
          </c:cat>
          <c:val>
            <c:numRef>
              <c:f>Sheet2!$Q$10:$Q$12</c:f>
              <c:numCache>
                <c:formatCode>General</c:formatCode>
                <c:ptCount val="2"/>
                <c:pt idx="0">
                  <c:v>66</c:v>
                </c:pt>
                <c:pt idx="1">
                  <c:v>198.8</c:v>
                </c:pt>
              </c:numCache>
            </c:numRef>
          </c:val>
        </c:ser>
        <c:dLbls>
          <c:dLblPos val="outEnd"/>
          <c:showLegendKey val="0"/>
          <c:showVal val="1"/>
          <c:showCatName val="0"/>
          <c:showSerName val="0"/>
          <c:showPercent val="0"/>
          <c:showBubbleSize val="0"/>
        </c:dLbls>
        <c:gapWidth val="182"/>
        <c:axId val="292549344"/>
        <c:axId val="292549736"/>
      </c:barChart>
      <c:catAx>
        <c:axId val="2925493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2549736"/>
        <c:crosses val="autoZero"/>
        <c:auto val="1"/>
        <c:lblAlgn val="ctr"/>
        <c:lblOffset val="100"/>
        <c:noMultiLvlLbl val="0"/>
      </c:catAx>
      <c:valAx>
        <c:axId val="292549736"/>
        <c:scaling>
          <c:orientation val="minMax"/>
        </c:scaling>
        <c:delete val="1"/>
        <c:axPos val="b"/>
        <c:numFmt formatCode="General" sourceLinked="1"/>
        <c:majorTickMark val="none"/>
        <c:minorTickMark val="none"/>
        <c:tickLblPos val="nextTo"/>
        <c:crossAx val="292549344"/>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[unemployment_data_cleaned.xlsx]Sheet2!PivotTable5</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900">
                <a:solidFill>
                  <a:schemeClr val="bg1"/>
                </a:solidFill>
              </a:rPr>
              <a:t>Population</a:t>
            </a:r>
            <a:r>
              <a:rPr lang="en-US" sz="900" baseline="0">
                <a:solidFill>
                  <a:schemeClr val="bg1"/>
                </a:solidFill>
              </a:rPr>
              <a:t> trend</a:t>
            </a:r>
            <a:endParaRPr lang="en-US" sz="900">
              <a:solidFill>
                <a:schemeClr val="bg1"/>
              </a:solidFill>
            </a:endParaRPr>
          </a:p>
        </c:rich>
      </c:tx>
      <c:layout>
        <c:manualLayout>
          <c:xMode val="edge"/>
          <c:yMode val="edge"/>
          <c:x val="3.6740917253764334E-2"/>
          <c:y val="5.553127151881678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bg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Sheet2!$X$8:$X$9</c:f>
              <c:strCache>
                <c:ptCount val="1"/>
                <c:pt idx="0">
                  <c:v>Ghana</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Sheet2!$W$10:$W$15</c:f>
              <c:strCache>
                <c:ptCount val="5"/>
                <c:pt idx="0">
                  <c:v>2018</c:v>
                </c:pt>
                <c:pt idx="1">
                  <c:v>2019</c:v>
                </c:pt>
                <c:pt idx="2">
                  <c:v>2020</c:v>
                </c:pt>
                <c:pt idx="3">
                  <c:v>2021</c:v>
                </c:pt>
                <c:pt idx="4">
                  <c:v>2022</c:v>
                </c:pt>
              </c:strCache>
            </c:strRef>
          </c:cat>
          <c:val>
            <c:numRef>
              <c:f>Sheet2!$X$10:$X$15</c:f>
              <c:numCache>
                <c:formatCode>General</c:formatCode>
                <c:ptCount val="5"/>
                <c:pt idx="0">
                  <c:v>29</c:v>
                </c:pt>
                <c:pt idx="1">
                  <c:v>30</c:v>
                </c:pt>
                <c:pt idx="2">
                  <c:v>31</c:v>
                </c:pt>
                <c:pt idx="3">
                  <c:v>32</c:v>
                </c:pt>
                <c:pt idx="4">
                  <c:v>33</c:v>
                </c:pt>
              </c:numCache>
            </c:numRef>
          </c:val>
        </c:ser>
        <c:ser>
          <c:idx val="1"/>
          <c:order val="1"/>
          <c:tx>
            <c:strRef>
              <c:f>Sheet2!$Y$8:$Y$9</c:f>
              <c:strCache>
                <c:ptCount val="1"/>
                <c:pt idx="0">
                  <c:v>Nigeria</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Sheet2!$W$10:$W$15</c:f>
              <c:strCache>
                <c:ptCount val="5"/>
                <c:pt idx="0">
                  <c:v>2018</c:v>
                </c:pt>
                <c:pt idx="1">
                  <c:v>2019</c:v>
                </c:pt>
                <c:pt idx="2">
                  <c:v>2020</c:v>
                </c:pt>
                <c:pt idx="3">
                  <c:v>2021</c:v>
                </c:pt>
                <c:pt idx="4">
                  <c:v>2022</c:v>
                </c:pt>
              </c:strCache>
            </c:strRef>
          </c:cat>
          <c:val>
            <c:numRef>
              <c:f>Sheet2!$Y$10:$Y$15</c:f>
              <c:numCache>
                <c:formatCode>General</c:formatCode>
                <c:ptCount val="5"/>
                <c:pt idx="0">
                  <c:v>195</c:v>
                </c:pt>
                <c:pt idx="1">
                  <c:v>200</c:v>
                </c:pt>
                <c:pt idx="2">
                  <c:v>206</c:v>
                </c:pt>
                <c:pt idx="3">
                  <c:v>211</c:v>
                </c:pt>
                <c:pt idx="4">
                  <c:v>216</c:v>
                </c:pt>
              </c:numCache>
            </c:numRef>
          </c:val>
        </c:ser>
        <c:dLbls>
          <c:dLblPos val="outEnd"/>
          <c:showLegendKey val="0"/>
          <c:showVal val="1"/>
          <c:showCatName val="0"/>
          <c:showSerName val="0"/>
          <c:showPercent val="0"/>
          <c:showBubbleSize val="0"/>
        </c:dLbls>
        <c:gapWidth val="219"/>
        <c:overlap val="-27"/>
        <c:axId val="292550520"/>
        <c:axId val="292547384"/>
      </c:barChart>
      <c:catAx>
        <c:axId val="292550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2547384"/>
        <c:crosses val="autoZero"/>
        <c:auto val="1"/>
        <c:lblAlgn val="ctr"/>
        <c:lblOffset val="100"/>
        <c:noMultiLvlLbl val="0"/>
      </c:catAx>
      <c:valAx>
        <c:axId val="292547384"/>
        <c:scaling>
          <c:orientation val="minMax"/>
        </c:scaling>
        <c:delete val="1"/>
        <c:axPos val="l"/>
        <c:numFmt formatCode="General" sourceLinked="1"/>
        <c:majorTickMark val="none"/>
        <c:minorTickMark val="none"/>
        <c:tickLblPos val="nextTo"/>
        <c:crossAx val="2925505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130726</xdr:colOff>
      <xdr:row>10</xdr:row>
      <xdr:rowOff>152539</xdr:rowOff>
    </xdr:from>
    <xdr:to>
      <xdr:col>1</xdr:col>
      <xdr:colOff>914674</xdr:colOff>
      <xdr:row>25</xdr:row>
      <xdr:rowOff>133488</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630445</xdr:colOff>
      <xdr:row>7</xdr:row>
      <xdr:rowOff>134040</xdr:rowOff>
    </xdr:from>
    <xdr:to>
      <xdr:col>16</xdr:col>
      <xdr:colOff>1359038</xdr:colOff>
      <xdr:row>22</xdr:row>
      <xdr:rowOff>114990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8283</xdr:colOff>
      <xdr:row>21</xdr:row>
      <xdr:rowOff>72335</xdr:rowOff>
    </xdr:from>
    <xdr:to>
      <xdr:col>32</xdr:col>
      <xdr:colOff>184979</xdr:colOff>
      <xdr:row>36</xdr:row>
      <xdr:rowOff>82274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36</xdr:col>
      <xdr:colOff>62396</xdr:colOff>
      <xdr:row>25</xdr:row>
      <xdr:rowOff>73715</xdr:rowOff>
    </xdr:from>
    <xdr:to>
      <xdr:col>38</xdr:col>
      <xdr:colOff>74544</xdr:colOff>
      <xdr:row>30</xdr:row>
      <xdr:rowOff>66261</xdr:rowOff>
    </xdr:to>
    <mc:AlternateContent xmlns:mc="http://schemas.openxmlformats.org/markup-compatibility/2006" xmlns:a14="http://schemas.microsoft.com/office/drawing/2010/main">
      <mc:Choice Requires="a14">
        <xdr:graphicFrame macro="">
          <xdr:nvGraphicFramePr>
            <xdr:cNvPr id="4"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4705918" y="4629150"/>
              <a:ext cx="1828800" cy="903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31750</xdr:colOff>
      <xdr:row>0</xdr:row>
      <xdr:rowOff>152400</xdr:rowOff>
    </xdr:from>
    <xdr:to>
      <xdr:col>10</xdr:col>
      <xdr:colOff>50800</xdr:colOff>
      <xdr:row>26</xdr:row>
      <xdr:rowOff>0</xdr:rowOff>
    </xdr:to>
    <xdr:sp macro="" textlink="">
      <xdr:nvSpPr>
        <xdr:cNvPr id="2" name="Rectangle 1"/>
        <xdr:cNvSpPr/>
      </xdr:nvSpPr>
      <xdr:spPr>
        <a:xfrm>
          <a:off x="31750" y="152400"/>
          <a:ext cx="6115050" cy="4635500"/>
        </a:xfrm>
        <a:prstGeom prst="rect">
          <a:avLst/>
        </a:prstGeom>
        <a:noFill/>
        <a:ln>
          <a:noFill/>
        </a:ln>
        <a:effectLst>
          <a:outerShdw blurRad="50800" dist="38100" algn="l" rotWithShape="0">
            <a:prstClr val="black">
              <a:alpha val="40000"/>
            </a:prstClr>
          </a:outerShdw>
        </a:effectLst>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noFill/>
          </a:endParaRPr>
        </a:p>
      </xdr:txBody>
    </xdr:sp>
    <xdr:clientData/>
  </xdr:twoCellAnchor>
  <xdr:twoCellAnchor>
    <xdr:from>
      <xdr:col>0</xdr:col>
      <xdr:colOff>50800</xdr:colOff>
      <xdr:row>15</xdr:row>
      <xdr:rowOff>107950</xdr:rowOff>
    </xdr:from>
    <xdr:to>
      <xdr:col>4</xdr:col>
      <xdr:colOff>558800</xdr:colOff>
      <xdr:row>25</xdr:row>
      <xdr:rowOff>57150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31750</xdr:colOff>
      <xdr:row>15</xdr:row>
      <xdr:rowOff>107950</xdr:rowOff>
    </xdr:from>
    <xdr:to>
      <xdr:col>4</xdr:col>
      <xdr:colOff>552450</xdr:colOff>
      <xdr:row>25</xdr:row>
      <xdr:rowOff>76200</xdr:rowOff>
    </xdr:to>
    <xdr:sp macro="" textlink="">
      <xdr:nvSpPr>
        <xdr:cNvPr id="4" name="Rectangle 3"/>
        <xdr:cNvSpPr/>
      </xdr:nvSpPr>
      <xdr:spPr>
        <a:xfrm>
          <a:off x="31750" y="2870200"/>
          <a:ext cx="2959100" cy="1809750"/>
        </a:xfrm>
        <a:prstGeom prst="rect">
          <a:avLst/>
        </a:prstGeom>
        <a:no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69850</xdr:colOff>
      <xdr:row>5</xdr:row>
      <xdr:rowOff>146050</xdr:rowOff>
    </xdr:from>
    <xdr:to>
      <xdr:col>4</xdr:col>
      <xdr:colOff>590550</xdr:colOff>
      <xdr:row>15</xdr:row>
      <xdr:rowOff>38100</xdr:rowOff>
    </xdr:to>
    <xdr:sp macro="" textlink="">
      <xdr:nvSpPr>
        <xdr:cNvPr id="5" name="Rectangle 4"/>
        <xdr:cNvSpPr/>
      </xdr:nvSpPr>
      <xdr:spPr>
        <a:xfrm>
          <a:off x="69850" y="1066800"/>
          <a:ext cx="2959100" cy="1733550"/>
        </a:xfrm>
        <a:prstGeom prst="rect">
          <a:avLst/>
        </a:prstGeom>
        <a:solidFill>
          <a:schemeClr val="accent5">
            <a:lumMod val="75000"/>
          </a:schemeClr>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5</xdr:col>
      <xdr:colOff>31750</xdr:colOff>
      <xdr:row>5</xdr:row>
      <xdr:rowOff>152400</xdr:rowOff>
    </xdr:from>
    <xdr:to>
      <xdr:col>9</xdr:col>
      <xdr:colOff>552450</xdr:colOff>
      <xdr:row>15</xdr:row>
      <xdr:rowOff>63500</xdr:rowOff>
    </xdr:to>
    <xdr:sp macro="" textlink="">
      <xdr:nvSpPr>
        <xdr:cNvPr id="6" name="Rectangle 5"/>
        <xdr:cNvSpPr/>
      </xdr:nvSpPr>
      <xdr:spPr>
        <a:xfrm>
          <a:off x="3079750" y="1073150"/>
          <a:ext cx="2959100" cy="1752600"/>
        </a:xfrm>
        <a:prstGeom prst="rect">
          <a:avLst/>
        </a:prstGeom>
        <a:solidFill>
          <a:schemeClr val="accent5">
            <a:lumMod val="75000"/>
          </a:schemeClr>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50800</xdr:colOff>
      <xdr:row>6</xdr:row>
      <xdr:rowOff>6350</xdr:rowOff>
    </xdr:from>
    <xdr:to>
      <xdr:col>4</xdr:col>
      <xdr:colOff>514350</xdr:colOff>
      <xdr:row>15</xdr:row>
      <xdr:rowOff>50800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50800</xdr:colOff>
      <xdr:row>6</xdr:row>
      <xdr:rowOff>19050</xdr:rowOff>
    </xdr:from>
    <xdr:to>
      <xdr:col>9</xdr:col>
      <xdr:colOff>508000</xdr:colOff>
      <xdr:row>15</xdr:row>
      <xdr:rowOff>31750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444500</xdr:colOff>
      <xdr:row>1</xdr:row>
      <xdr:rowOff>146050</xdr:rowOff>
    </xdr:from>
    <xdr:to>
      <xdr:col>9</xdr:col>
      <xdr:colOff>323850</xdr:colOff>
      <xdr:row>4</xdr:row>
      <xdr:rowOff>95250</xdr:rowOff>
    </xdr:to>
    <xdr:sp macro="" textlink="">
      <xdr:nvSpPr>
        <xdr:cNvPr id="10" name="TextBox 9"/>
        <xdr:cNvSpPr txBox="1"/>
      </xdr:nvSpPr>
      <xdr:spPr>
        <a:xfrm>
          <a:off x="4711700" y="330200"/>
          <a:ext cx="1098550" cy="501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Total Population(M)</a:t>
          </a:r>
        </a:p>
      </xdr:txBody>
    </xdr:sp>
    <xdr:clientData/>
  </xdr:twoCellAnchor>
  <xdr:twoCellAnchor>
    <xdr:from>
      <xdr:col>7</xdr:col>
      <xdr:colOff>285750</xdr:colOff>
      <xdr:row>1</xdr:row>
      <xdr:rowOff>95250</xdr:rowOff>
    </xdr:from>
    <xdr:to>
      <xdr:col>9</xdr:col>
      <xdr:colOff>488950</xdr:colOff>
      <xdr:row>5</xdr:row>
      <xdr:rowOff>107950</xdr:rowOff>
    </xdr:to>
    <xdr:sp macro="" textlink="">
      <xdr:nvSpPr>
        <xdr:cNvPr id="11" name="Rounded Rectangle 10"/>
        <xdr:cNvSpPr/>
      </xdr:nvSpPr>
      <xdr:spPr>
        <a:xfrm>
          <a:off x="4552950" y="279400"/>
          <a:ext cx="1422400" cy="749300"/>
        </a:xfrm>
        <a:prstGeom prst="roundRect">
          <a:avLst>
            <a:gd name="adj" fmla="val 23516"/>
          </a:avLst>
        </a:prstGeom>
        <a:noFill/>
        <a:ln>
          <a:solidFill>
            <a:srgbClr val="92D05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165100</xdr:colOff>
      <xdr:row>4</xdr:row>
      <xdr:rowOff>50800</xdr:rowOff>
    </xdr:from>
    <xdr:to>
      <xdr:col>22</xdr:col>
      <xdr:colOff>165100</xdr:colOff>
      <xdr:row>9</xdr:row>
      <xdr:rowOff>33683</xdr:rowOff>
    </xdr:to>
    <mc:AlternateContent xmlns:mc="http://schemas.openxmlformats.org/markup-compatibility/2006" xmlns:a14="http://schemas.microsoft.com/office/drawing/2010/main">
      <mc:Choice Requires="a14">
        <xdr:graphicFrame macro="">
          <xdr:nvGraphicFramePr>
            <xdr:cNvPr id="12"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1747500" y="787400"/>
              <a:ext cx="1828800" cy="903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374650</xdr:colOff>
      <xdr:row>1</xdr:row>
      <xdr:rowOff>177800</xdr:rowOff>
    </xdr:from>
    <xdr:to>
      <xdr:col>17</xdr:col>
      <xdr:colOff>215900</xdr:colOff>
      <xdr:row>3</xdr:row>
      <xdr:rowOff>19050</xdr:rowOff>
    </xdr:to>
    <xdr:sp macro="" textlink="">
      <xdr:nvSpPr>
        <xdr:cNvPr id="13" name="TextBox 12"/>
        <xdr:cNvSpPr txBox="1"/>
      </xdr:nvSpPr>
      <xdr:spPr>
        <a:xfrm>
          <a:off x="9518650" y="361950"/>
          <a:ext cx="106045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100"/>
        </a:p>
      </xdr:txBody>
    </xdr:sp>
    <xdr:clientData/>
  </xdr:twoCellAnchor>
  <xdr:twoCellAnchor>
    <xdr:from>
      <xdr:col>0</xdr:col>
      <xdr:colOff>88900</xdr:colOff>
      <xdr:row>1</xdr:row>
      <xdr:rowOff>63500</xdr:rowOff>
    </xdr:from>
    <xdr:to>
      <xdr:col>5</xdr:col>
      <xdr:colOff>0</xdr:colOff>
      <xdr:row>4</xdr:row>
      <xdr:rowOff>6350</xdr:rowOff>
    </xdr:to>
    <xdr:sp macro="" textlink="">
      <xdr:nvSpPr>
        <xdr:cNvPr id="16" name="Rectangle 15"/>
        <xdr:cNvSpPr/>
      </xdr:nvSpPr>
      <xdr:spPr>
        <a:xfrm>
          <a:off x="88900" y="247650"/>
          <a:ext cx="2959100" cy="495300"/>
        </a:xfrm>
        <a:prstGeom prst="rect">
          <a:avLst/>
        </a:prstGeom>
        <a:noFill/>
        <a:ln>
          <a:solidFill>
            <a:srgbClr val="92D05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82550</xdr:colOff>
      <xdr:row>1</xdr:row>
      <xdr:rowOff>76200</xdr:rowOff>
    </xdr:from>
    <xdr:to>
      <xdr:col>7</xdr:col>
      <xdr:colOff>203200</xdr:colOff>
      <xdr:row>5</xdr:row>
      <xdr:rowOff>101600</xdr:rowOff>
    </xdr:to>
    <xdr:sp macro="" textlink="">
      <xdr:nvSpPr>
        <xdr:cNvPr id="17" name="Rounded Rectangle 16"/>
        <xdr:cNvSpPr/>
      </xdr:nvSpPr>
      <xdr:spPr>
        <a:xfrm>
          <a:off x="3130550" y="260350"/>
          <a:ext cx="1339850" cy="762000"/>
        </a:xfrm>
        <a:prstGeom prst="roundRect">
          <a:avLst/>
        </a:prstGeom>
        <a:noFill/>
        <a:ln>
          <a:solidFill>
            <a:srgbClr val="92D05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76200</xdr:colOff>
      <xdr:row>1</xdr:row>
      <xdr:rowOff>139700</xdr:rowOff>
    </xdr:from>
    <xdr:ext cx="2768600" cy="342786"/>
    <xdr:sp macro="" textlink="">
      <xdr:nvSpPr>
        <xdr:cNvPr id="18" name="TextBox 17"/>
        <xdr:cNvSpPr txBox="1"/>
      </xdr:nvSpPr>
      <xdr:spPr>
        <a:xfrm>
          <a:off x="76200" y="323850"/>
          <a:ext cx="27686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0"/>
            <a:t>Unemployment Trend Analysis</a:t>
          </a:r>
        </a:p>
      </xdr:txBody>
    </xdr:sp>
    <xdr:clientData/>
  </xdr:oneCellAnchor>
  <xdr:twoCellAnchor>
    <xdr:from>
      <xdr:col>5</xdr:col>
      <xdr:colOff>546100</xdr:colOff>
      <xdr:row>4</xdr:row>
      <xdr:rowOff>31750</xdr:rowOff>
    </xdr:from>
    <xdr:to>
      <xdr:col>7</xdr:col>
      <xdr:colOff>88900</xdr:colOff>
      <xdr:row>5</xdr:row>
      <xdr:rowOff>82550</xdr:rowOff>
    </xdr:to>
    <xdr:sp macro="" textlink="Sheet2!AE18">
      <xdr:nvSpPr>
        <xdr:cNvPr id="21" name="TextBox 20"/>
        <xdr:cNvSpPr txBox="1"/>
      </xdr:nvSpPr>
      <xdr:spPr>
        <a:xfrm>
          <a:off x="3594100" y="768350"/>
          <a:ext cx="7620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AF39B8-7372-47F7-B4EA-BAA26E725BDF}" type="TxLink">
            <a:rPr lang="en-US" sz="1100" b="1" i="0" u="none" strike="noStrike">
              <a:solidFill>
                <a:srgbClr val="000000"/>
              </a:solidFill>
              <a:latin typeface="Calibri"/>
              <a:ea typeface="Calibri"/>
              <a:cs typeface="Calibri"/>
            </a:rPr>
            <a:pPr/>
            <a:t>184</a:t>
          </a:fld>
          <a:endParaRPr lang="en-US" sz="1100"/>
        </a:p>
      </xdr:txBody>
    </xdr:sp>
    <xdr:clientData/>
  </xdr:twoCellAnchor>
  <xdr:twoCellAnchor>
    <xdr:from>
      <xdr:col>5</xdr:col>
      <xdr:colOff>6350</xdr:colOff>
      <xdr:row>1</xdr:row>
      <xdr:rowOff>38100</xdr:rowOff>
    </xdr:from>
    <xdr:to>
      <xdr:col>7</xdr:col>
      <xdr:colOff>196850</xdr:colOff>
      <xdr:row>4</xdr:row>
      <xdr:rowOff>139700</xdr:rowOff>
    </xdr:to>
    <xdr:sp macro="" textlink="">
      <xdr:nvSpPr>
        <xdr:cNvPr id="22" name="TextBox 21"/>
        <xdr:cNvSpPr txBox="1"/>
      </xdr:nvSpPr>
      <xdr:spPr>
        <a:xfrm>
          <a:off x="3054350" y="222250"/>
          <a:ext cx="1409700" cy="654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Cumulative Unemployment (2018</a:t>
          </a:r>
          <a:r>
            <a:rPr lang="en-US" sz="1100" baseline="0"/>
            <a:t> - 2022)</a:t>
          </a:r>
          <a:endParaRPr lang="en-US" sz="1100"/>
        </a:p>
      </xdr:txBody>
    </xdr:sp>
    <xdr:clientData/>
  </xdr:twoCellAnchor>
  <xdr:twoCellAnchor>
    <xdr:from>
      <xdr:col>8</xdr:col>
      <xdr:colOff>127000</xdr:colOff>
      <xdr:row>4</xdr:row>
      <xdr:rowOff>38100</xdr:rowOff>
    </xdr:from>
    <xdr:to>
      <xdr:col>9</xdr:col>
      <xdr:colOff>25400</xdr:colOff>
      <xdr:row>5</xdr:row>
      <xdr:rowOff>158750</xdr:rowOff>
    </xdr:to>
    <xdr:sp macro="" textlink="Sheet2!V21">
      <xdr:nvSpPr>
        <xdr:cNvPr id="15" name="TextBox 14"/>
        <xdr:cNvSpPr txBox="1"/>
      </xdr:nvSpPr>
      <xdr:spPr>
        <a:xfrm>
          <a:off x="5003800" y="774700"/>
          <a:ext cx="508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E4440C-7B72-4755-9806-600DBB0DF998}" type="TxLink">
            <a:rPr lang="en-US" sz="1100" b="1" i="0" u="none" strike="noStrike">
              <a:solidFill>
                <a:srgbClr val="000000"/>
              </a:solidFill>
              <a:latin typeface="Calibri"/>
              <a:ea typeface="Calibri"/>
              <a:cs typeface="Calibri"/>
            </a:rPr>
            <a:pPr/>
            <a:t>1183</a:t>
          </a:fld>
          <a:endParaRPr lang="en-US" sz="1100"/>
        </a:p>
      </xdr:txBody>
    </xdr:sp>
    <xdr:clientData/>
  </xdr:twoCellAnchor>
  <xdr:oneCellAnchor>
    <xdr:from>
      <xdr:col>5</xdr:col>
      <xdr:colOff>38669</xdr:colOff>
      <xdr:row>15</xdr:row>
      <xdr:rowOff>133351</xdr:rowOff>
    </xdr:from>
    <xdr:ext cx="2964871" cy="1814599"/>
    <xdr:sp macro="" textlink="">
      <xdr:nvSpPr>
        <xdr:cNvPr id="14" name="TextBox 13"/>
        <xdr:cNvSpPr txBox="1"/>
      </xdr:nvSpPr>
      <xdr:spPr>
        <a:xfrm flipH="1">
          <a:off x="3086669" y="2895601"/>
          <a:ext cx="2964871" cy="1814599"/>
        </a:xfrm>
        <a:prstGeom prst="rect">
          <a:avLst/>
        </a:prstGeom>
        <a:solidFill>
          <a:schemeClr val="accent5">
            <a:lumMod val="75000"/>
          </a:schemeClr>
        </a:solidFill>
        <a:ln>
          <a:solidFill>
            <a:srgbClr val="92D050"/>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spAutoFit/>
        </a:bodyPr>
        <a:lstStyle/>
        <a:p>
          <a:r>
            <a:rPr lang="en-US" b="1">
              <a:solidFill>
                <a:schemeClr val="bg1"/>
              </a:solidFill>
            </a:rPr>
            <a:t>NOTE:</a:t>
          </a:r>
        </a:p>
        <a:p>
          <a:r>
            <a:rPr lang="en-US">
              <a:solidFill>
                <a:schemeClr val="bg1"/>
              </a:solidFill>
            </a:rPr>
            <a:t>1. Youth unemployment is consistently higher than general unemployment.</a:t>
          </a:r>
        </a:p>
        <a:p>
          <a:r>
            <a:rPr lang="en-US">
              <a:solidFill>
                <a:schemeClr val="bg1"/>
              </a:solidFill>
            </a:rPr>
            <a:t>2. Unemployment peaked in 2020, likely due to economic disruptions caused by covid19</a:t>
          </a:r>
          <a:r>
            <a:rPr lang="en-US" baseline="0">
              <a:solidFill>
                <a:schemeClr val="bg1"/>
              </a:solidFill>
            </a:rPr>
            <a:t> pandemic.</a:t>
          </a:r>
          <a:endParaRPr lang="en-US">
            <a:solidFill>
              <a:schemeClr val="bg1"/>
            </a:solidFill>
          </a:endParaRPr>
        </a:p>
        <a:p>
          <a:r>
            <a:rPr lang="en-US">
              <a:solidFill>
                <a:schemeClr val="bg1"/>
              </a:solidFill>
            </a:rPr>
            <a:t>3. Nigeria shows significantly higher unemployment and population pressure than Ghana</a:t>
          </a:r>
        </a:p>
        <a:p>
          <a:endParaRPr lang="en-US"/>
        </a:p>
      </xdr:txBody>
    </xdr:sp>
    <xdr:clientData/>
  </xdr:oneCellAnchor>
  <xdr:twoCellAnchor>
    <xdr:from>
      <xdr:col>0</xdr:col>
      <xdr:colOff>107950</xdr:colOff>
      <xdr:row>1</xdr:row>
      <xdr:rowOff>25400</xdr:rowOff>
    </xdr:from>
    <xdr:to>
      <xdr:col>10</xdr:col>
      <xdr:colOff>127000</xdr:colOff>
      <xdr:row>26</xdr:row>
      <xdr:rowOff>57150</xdr:rowOff>
    </xdr:to>
    <xdr:sp macro="" textlink="">
      <xdr:nvSpPr>
        <xdr:cNvPr id="20" name="Rectangle 19"/>
        <xdr:cNvSpPr/>
      </xdr:nvSpPr>
      <xdr:spPr>
        <a:xfrm>
          <a:off x="107950" y="209550"/>
          <a:ext cx="6115050" cy="4635500"/>
        </a:xfrm>
        <a:prstGeom prst="rect">
          <a:avLst/>
        </a:prstGeom>
        <a:noFill/>
        <a:ln>
          <a:noFill/>
        </a:ln>
        <a:effectLst>
          <a:outerShdw blurRad="50800" dist="38100" algn="l" rotWithShape="0">
            <a:prstClr val="black">
              <a:alpha val="40000"/>
            </a:prstClr>
          </a:outerShdw>
        </a:effectLst>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no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Ibrahim Olajumoke" refreshedDate="45994.743386805552" createdVersion="5" refreshedVersion="5" minRefreshableVersion="3" recordCount="10">
  <cacheSource type="worksheet">
    <worksheetSource ref="A1:F11" sheet="Sheet1"/>
  </cacheSource>
  <cacheFields count="6">
    <cacheField name="Year" numFmtId="1">
      <sharedItems containsSemiMixedTypes="0" containsString="0" containsNumber="1" containsInteger="1" minValue="2018" maxValue="2022" count="5">
        <n v="2018"/>
        <n v="2019"/>
        <n v="2020"/>
        <n v="2021"/>
        <n v="2022"/>
      </sharedItems>
    </cacheField>
    <cacheField name="Country" numFmtId="49">
      <sharedItems count="2">
        <s v="Nigeria"/>
        <s v="Ghana"/>
      </sharedItems>
    </cacheField>
    <cacheField name="Unemployment_Rate" numFmtId="164">
      <sharedItems containsSemiMixedTypes="0" containsString="0" containsNumber="1" minValue="6.7" maxValue="33.299999999999997"/>
    </cacheField>
    <cacheField name="Youth_Unemployment" numFmtId="164">
      <sharedItems containsSemiMixedTypes="0" containsString="0" containsNumber="1" minValue="12.5" maxValue="42.5"/>
    </cacheField>
    <cacheField name="Population_Millions" numFmtId="1">
      <sharedItems containsSemiMixedTypes="0" containsString="0" containsNumber="1" containsInteger="1" minValue="29" maxValue="216" count="10">
        <n v="195"/>
        <n v="200"/>
        <n v="206"/>
        <n v="211"/>
        <n v="216"/>
        <n v="29"/>
        <n v="30"/>
        <n v="31"/>
        <n v="32"/>
        <n v="33"/>
      </sharedItems>
    </cacheField>
    <cacheField name="Average_unemployement" numFmtId="0">
      <sharedItems containsString="0" containsBlank="1" containsNumber="1" minValue="18.399999999999999" maxValue="18.399999999999999"/>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Ibrahim Olajumoke" refreshedDate="45995.90520011574" createdVersion="5" refreshedVersion="5" minRefreshableVersion="3" recordCount="10">
  <cacheSource type="worksheet">
    <worksheetSource ref="A1:E11" sheet="Sheet1"/>
  </cacheSource>
  <cacheFields count="5">
    <cacheField name="Year" numFmtId="1">
      <sharedItems containsSemiMixedTypes="0" containsString="0" containsNumber="1" containsInteger="1" minValue="2018" maxValue="2022" count="5">
        <n v="2018"/>
        <n v="2019"/>
        <n v="2020"/>
        <n v="2021"/>
        <n v="2022"/>
      </sharedItems>
    </cacheField>
    <cacheField name="Country" numFmtId="49">
      <sharedItems count="2">
        <s v="Nigeria"/>
        <s v="Ghana"/>
      </sharedItems>
    </cacheField>
    <cacheField name="Unemployment_Rate" numFmtId="164">
      <sharedItems containsSemiMixedTypes="0" containsString="0" containsNumber="1" minValue="6.7" maxValue="33.299999999999997" count="10">
        <n v="23.1"/>
        <n v="27.1"/>
        <n v="33.299999999999997"/>
        <n v="32.5"/>
        <n v="30.6"/>
        <n v="6.7"/>
        <n v="7.1"/>
        <n v="8.5"/>
        <n v="7.9"/>
        <n v="7.2"/>
      </sharedItems>
    </cacheField>
    <cacheField name="Youth_Unemployment" numFmtId="164">
      <sharedItems containsSemiMixedTypes="0" containsString="0" containsNumber="1" minValue="12.5" maxValue="42.5"/>
    </cacheField>
    <cacheField name="Population_Millions" numFmtId="1">
      <sharedItems containsSemiMixedTypes="0" containsString="0" containsNumber="1" containsInteger="1" minValue="29" maxValue="21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Ibrahim Olajumoke" refreshedDate="46003.56686215278" createdVersion="5" refreshedVersion="5" minRefreshableVersion="3" recordCount="11">
  <cacheSource type="worksheet">
    <worksheetSource ref="A1:E1048576" sheet="Sheet1"/>
  </cacheSource>
  <cacheFields count="5">
    <cacheField name="Year" numFmtId="1">
      <sharedItems containsString="0" containsBlank="1" containsNumber="1" containsInteger="1" minValue="2018" maxValue="2022" count="6">
        <n v="2018"/>
        <n v="2019"/>
        <n v="2020"/>
        <n v="2021"/>
        <n v="2022"/>
        <m/>
      </sharedItems>
    </cacheField>
    <cacheField name="Country" numFmtId="49">
      <sharedItems containsBlank="1" count="3">
        <s v="Nigeria"/>
        <s v="Ghana"/>
        <m/>
      </sharedItems>
    </cacheField>
    <cacheField name="Unemployment_Rate" numFmtId="164">
      <sharedItems containsString="0" containsBlank="1" containsNumber="1" minValue="6.7" maxValue="33.299999999999997" count="11">
        <n v="23.1"/>
        <n v="27.1"/>
        <n v="33.299999999999997"/>
        <n v="32.5"/>
        <n v="30.6"/>
        <n v="6.7"/>
        <n v="7.1"/>
        <n v="8.5"/>
        <n v="7.9"/>
        <n v="7.2"/>
        <m/>
      </sharedItems>
    </cacheField>
    <cacheField name="Youth_Unemployment" numFmtId="164">
      <sharedItems containsString="0" containsBlank="1" containsNumber="1" minValue="12.5" maxValue="42.5" count="11">
        <n v="36.5"/>
        <n v="40.1"/>
        <n v="42.5"/>
        <n v="41"/>
        <n v="38.700000000000003"/>
        <n v="12.5"/>
        <n v="13.2"/>
        <n v="14"/>
        <n v="13.4"/>
        <n v="12.9"/>
        <m/>
      </sharedItems>
    </cacheField>
    <cacheField name="Population_Millions" numFmtId="1">
      <sharedItems containsString="0" containsBlank="1" containsNumber="1" containsInteger="1" minValue="29" maxValue="21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
  <r>
    <x v="0"/>
    <x v="0"/>
    <n v="23.1"/>
    <n v="36.5"/>
    <x v="0"/>
    <n v="18.399999999999999"/>
  </r>
  <r>
    <x v="1"/>
    <x v="0"/>
    <n v="27.1"/>
    <n v="40.1"/>
    <x v="1"/>
    <m/>
  </r>
  <r>
    <x v="2"/>
    <x v="0"/>
    <n v="33.299999999999997"/>
    <n v="42.5"/>
    <x v="2"/>
    <m/>
  </r>
  <r>
    <x v="3"/>
    <x v="0"/>
    <n v="32.5"/>
    <n v="41"/>
    <x v="3"/>
    <m/>
  </r>
  <r>
    <x v="4"/>
    <x v="0"/>
    <n v="30.6"/>
    <n v="38.700000000000003"/>
    <x v="4"/>
    <m/>
  </r>
  <r>
    <x v="0"/>
    <x v="1"/>
    <n v="6.7"/>
    <n v="12.5"/>
    <x v="5"/>
    <m/>
  </r>
  <r>
    <x v="1"/>
    <x v="1"/>
    <n v="7.1"/>
    <n v="13.2"/>
    <x v="6"/>
    <m/>
  </r>
  <r>
    <x v="2"/>
    <x v="1"/>
    <n v="8.5"/>
    <n v="14"/>
    <x v="7"/>
    <m/>
  </r>
  <r>
    <x v="3"/>
    <x v="1"/>
    <n v="7.9"/>
    <n v="13.4"/>
    <x v="8"/>
    <m/>
  </r>
  <r>
    <x v="4"/>
    <x v="1"/>
    <n v="7.2"/>
    <n v="12.9"/>
    <x v="9"/>
    <m/>
  </r>
</pivotCacheRecords>
</file>

<file path=xl/pivotCache/pivotCacheRecords2.xml><?xml version="1.0" encoding="utf-8"?>
<pivotCacheRecords xmlns="http://schemas.openxmlformats.org/spreadsheetml/2006/main" xmlns:r="http://schemas.openxmlformats.org/officeDocument/2006/relationships" count="10">
  <r>
    <x v="0"/>
    <x v="0"/>
    <x v="0"/>
    <n v="36.5"/>
    <n v="195"/>
  </r>
  <r>
    <x v="1"/>
    <x v="0"/>
    <x v="1"/>
    <n v="40.1"/>
    <n v="200"/>
  </r>
  <r>
    <x v="2"/>
    <x v="0"/>
    <x v="2"/>
    <n v="42.5"/>
    <n v="206"/>
  </r>
  <r>
    <x v="3"/>
    <x v="0"/>
    <x v="3"/>
    <n v="41"/>
    <n v="211"/>
  </r>
  <r>
    <x v="4"/>
    <x v="0"/>
    <x v="4"/>
    <n v="38.700000000000003"/>
    <n v="216"/>
  </r>
  <r>
    <x v="0"/>
    <x v="1"/>
    <x v="5"/>
    <n v="12.5"/>
    <n v="29"/>
  </r>
  <r>
    <x v="1"/>
    <x v="1"/>
    <x v="6"/>
    <n v="13.2"/>
    <n v="30"/>
  </r>
  <r>
    <x v="2"/>
    <x v="1"/>
    <x v="7"/>
    <n v="14"/>
    <n v="31"/>
  </r>
  <r>
    <x v="3"/>
    <x v="1"/>
    <x v="8"/>
    <n v="13.4"/>
    <n v="32"/>
  </r>
  <r>
    <x v="4"/>
    <x v="1"/>
    <x v="9"/>
    <n v="12.9"/>
    <n v="33"/>
  </r>
</pivotCacheRecords>
</file>

<file path=xl/pivotCache/pivotCacheRecords3.xml><?xml version="1.0" encoding="utf-8"?>
<pivotCacheRecords xmlns="http://schemas.openxmlformats.org/spreadsheetml/2006/main" xmlns:r="http://schemas.openxmlformats.org/officeDocument/2006/relationships" count="11">
  <r>
    <x v="0"/>
    <x v="0"/>
    <x v="0"/>
    <x v="0"/>
    <n v="195"/>
  </r>
  <r>
    <x v="1"/>
    <x v="0"/>
    <x v="1"/>
    <x v="1"/>
    <n v="200"/>
  </r>
  <r>
    <x v="2"/>
    <x v="0"/>
    <x v="2"/>
    <x v="2"/>
    <n v="206"/>
  </r>
  <r>
    <x v="3"/>
    <x v="0"/>
    <x v="3"/>
    <x v="3"/>
    <n v="211"/>
  </r>
  <r>
    <x v="4"/>
    <x v="0"/>
    <x v="4"/>
    <x v="4"/>
    <n v="216"/>
  </r>
  <r>
    <x v="0"/>
    <x v="1"/>
    <x v="5"/>
    <x v="5"/>
    <n v="29"/>
  </r>
  <r>
    <x v="1"/>
    <x v="1"/>
    <x v="6"/>
    <x v="6"/>
    <n v="30"/>
  </r>
  <r>
    <x v="2"/>
    <x v="1"/>
    <x v="7"/>
    <x v="7"/>
    <n v="31"/>
  </r>
  <r>
    <x v="3"/>
    <x v="1"/>
    <x v="8"/>
    <x v="8"/>
    <n v="32"/>
  </r>
  <r>
    <x v="4"/>
    <x v="1"/>
    <x v="9"/>
    <x v="9"/>
    <n v="33"/>
  </r>
  <r>
    <x v="5"/>
    <x v="2"/>
    <x v="10"/>
    <x v="1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18:E35" firstHeaderRow="1" firstDataRow="1" firstDataCol="0"/>
  <pivotFields count="5">
    <pivotField showAll="0">
      <items count="7">
        <item x="0"/>
        <item x="1"/>
        <item x="2"/>
        <item x="3"/>
        <item x="4"/>
        <item x="5"/>
        <item t="default"/>
      </items>
    </pivotField>
    <pivotField showAll="0">
      <items count="4">
        <item x="1"/>
        <item x="0"/>
        <item x="2"/>
        <item t="default"/>
      </items>
    </pivotField>
    <pivotField showAll="0">
      <items count="12">
        <item x="5"/>
        <item x="6"/>
        <item x="9"/>
        <item x="8"/>
        <item x="7"/>
        <item x="0"/>
        <item x="1"/>
        <item x="4"/>
        <item x="3"/>
        <item x="2"/>
        <item x="10"/>
        <item t="default"/>
      </items>
    </pivotField>
    <pivotField showAll="0">
      <items count="12">
        <item x="5"/>
        <item x="9"/>
        <item x="6"/>
        <item x="8"/>
        <item x="7"/>
        <item x="0"/>
        <item x="4"/>
        <item x="1"/>
        <item x="3"/>
        <item x="2"/>
        <item x="10"/>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10" firstHeaderRow="1" firstDataRow="2" firstDataCol="1"/>
  <pivotFields count="6">
    <pivotField axis="axisRow" numFmtId="1" showAll="0">
      <items count="6">
        <item x="0"/>
        <item x="1"/>
        <item x="2"/>
        <item x="3"/>
        <item x="4"/>
        <item t="default"/>
      </items>
    </pivotField>
    <pivotField axis="axisCol" showAll="0">
      <items count="3">
        <item x="1"/>
        <item x="0"/>
        <item t="default"/>
      </items>
    </pivotField>
    <pivotField dataField="1" numFmtId="164" showAll="0"/>
    <pivotField numFmtId="164" showAll="0"/>
    <pivotField numFmtId="1" showAll="0"/>
    <pivotField showAll="0"/>
  </pivotFields>
  <rowFields count="1">
    <field x="0"/>
  </rowFields>
  <rowItems count="6">
    <i>
      <x/>
    </i>
    <i>
      <x v="1"/>
    </i>
    <i>
      <x v="2"/>
    </i>
    <i>
      <x v="3"/>
    </i>
    <i>
      <x v="4"/>
    </i>
    <i t="grand">
      <x/>
    </i>
  </rowItems>
  <colFields count="1">
    <field x="1"/>
  </colFields>
  <colItems count="3">
    <i>
      <x/>
    </i>
    <i>
      <x v="1"/>
    </i>
    <i t="grand">
      <x/>
    </i>
  </colItems>
  <dataFields count="1">
    <dataField name="Sum of Unemployment_Rat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H3:AH14" firstHeaderRow="1" firstDataRow="1" firstDataCol="1"/>
  <pivotFields count="5">
    <pivotField numFmtId="1" showAll="0"/>
    <pivotField showAll="0"/>
    <pivotField axis="axisRow" numFmtId="164" showAll="0">
      <items count="11">
        <item x="5"/>
        <item x="6"/>
        <item x="9"/>
        <item x="8"/>
        <item x="7"/>
        <item x="0"/>
        <item x="1"/>
        <item x="4"/>
        <item x="3"/>
        <item x="2"/>
        <item t="default"/>
      </items>
    </pivotField>
    <pivotField numFmtId="164" showAll="0"/>
    <pivotField numFmtId="1" showAll="0"/>
  </pivotFields>
  <rowFields count="1">
    <field x="2"/>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H4:I10" firstHeaderRow="1" firstDataRow="1" firstDataCol="1"/>
  <pivotFields count="5">
    <pivotField axis="axisRow" numFmtId="1" showAll="0">
      <items count="6">
        <item x="0"/>
        <item x="1"/>
        <item x="2"/>
        <item x="3"/>
        <item x="4"/>
        <item t="default"/>
      </items>
    </pivotField>
    <pivotField showAll="0"/>
    <pivotField dataField="1" numFmtId="164" showAll="0"/>
    <pivotField numFmtId="164" showAll="0"/>
    <pivotField numFmtId="1" showAll="0"/>
  </pivotFields>
  <rowFields count="1">
    <field x="0"/>
  </rowFields>
  <rowItems count="6">
    <i>
      <x/>
    </i>
    <i>
      <x v="1"/>
    </i>
    <i>
      <x v="2"/>
    </i>
    <i>
      <x v="3"/>
    </i>
    <i>
      <x v="4"/>
    </i>
    <i t="grand">
      <x/>
    </i>
  </rowItems>
  <colItems count="1">
    <i/>
  </colItems>
  <dataFields count="1">
    <dataField name="Sum of Unemployment_Rate" fld="2" baseField="0" baseItem="0"/>
  </dataFields>
  <chartFormats count="6">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3"/>
          </reference>
        </references>
      </pivotArea>
    </chartFormat>
    <chartFormat chart="7" format="4">
      <pivotArea type="data" outline="0" fieldPosition="0">
        <references count="2">
          <reference field="4294967294" count="1" selected="0">
            <x v="0"/>
          </reference>
          <reference field="0" count="1" selected="0">
            <x v="4"/>
          </reference>
        </references>
      </pivotArea>
    </chartFormat>
    <chartFormat chart="7" format="5">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W8:Z15" firstHeaderRow="1" firstDataRow="2" firstDataCol="1"/>
  <pivotFields count="5">
    <pivotField axis="axisRow" numFmtId="1" showAll="0">
      <items count="6">
        <item x="0"/>
        <item x="1"/>
        <item x="2"/>
        <item x="3"/>
        <item x="4"/>
        <item t="default"/>
      </items>
    </pivotField>
    <pivotField axis="axisCol" showAll="0">
      <items count="3">
        <item x="1"/>
        <item x="0"/>
        <item t="default"/>
      </items>
    </pivotField>
    <pivotField numFmtId="164" showAll="0"/>
    <pivotField numFmtId="164" showAll="0"/>
    <pivotField dataField="1" numFmtId="1" showAll="0"/>
  </pivotFields>
  <rowFields count="1">
    <field x="0"/>
  </rowFields>
  <rowItems count="6">
    <i>
      <x/>
    </i>
    <i>
      <x v="1"/>
    </i>
    <i>
      <x v="2"/>
    </i>
    <i>
      <x v="3"/>
    </i>
    <i>
      <x v="4"/>
    </i>
    <i t="grand">
      <x/>
    </i>
  </rowItems>
  <colFields count="1">
    <field x="1"/>
  </colFields>
  <colItems count="3">
    <i>
      <x/>
    </i>
    <i>
      <x v="1"/>
    </i>
    <i t="grand">
      <x/>
    </i>
  </colItems>
  <dataFields count="1">
    <dataField name="Sum of Population_Millions" fld="4"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Q30:AQ33" firstHeaderRow="1" firstDataRow="1" firstDataCol="1"/>
  <pivotFields count="6">
    <pivotField numFmtId="1" showAll="0"/>
    <pivotField axis="axisRow" showAll="0">
      <items count="3">
        <item x="1"/>
        <item x="0"/>
        <item t="default"/>
      </items>
    </pivotField>
    <pivotField numFmtId="164" showAll="0"/>
    <pivotField numFmtId="164" showAll="0"/>
    <pivotField numFmtId="1" showAll="0"/>
    <pivotField showAll="0"/>
  </pivotFields>
  <rowFields count="1">
    <field x="1"/>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B15:AC21" firstHeaderRow="1" firstDataRow="1" firstDataCol="1"/>
  <pivotFields count="5">
    <pivotField axis="axisRow" numFmtId="1" showAll="0">
      <items count="6">
        <item x="0"/>
        <item x="1"/>
        <item x="2"/>
        <item x="3"/>
        <item x="4"/>
        <item t="default"/>
      </items>
    </pivotField>
    <pivotField showAll="0"/>
    <pivotField dataField="1" numFmtId="164" showAll="0">
      <items count="11">
        <item x="5"/>
        <item x="6"/>
        <item x="9"/>
        <item x="8"/>
        <item x="7"/>
        <item x="0"/>
        <item x="1"/>
        <item x="4"/>
        <item x="3"/>
        <item x="2"/>
        <item t="default"/>
      </items>
    </pivotField>
    <pivotField numFmtId="164" showAll="0"/>
    <pivotField numFmtId="1" showAll="0"/>
  </pivotFields>
  <rowFields count="1">
    <field x="0"/>
  </rowFields>
  <rowItems count="6">
    <i>
      <x/>
    </i>
    <i>
      <x v="1"/>
    </i>
    <i>
      <x v="2"/>
    </i>
    <i>
      <x v="3"/>
    </i>
    <i>
      <x v="4"/>
    </i>
    <i t="grand">
      <x/>
    </i>
  </rowItems>
  <colItems count="1">
    <i/>
  </colItems>
  <dataFields count="1">
    <dataField name="Sum of Unemployment_Rat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E4:AE5" firstHeaderRow="1" firstDataRow="1" firstDataCol="0"/>
  <pivotFields count="5">
    <pivotField numFmtId="1" showAll="0"/>
    <pivotField showAll="0"/>
    <pivotField dataField="1" numFmtId="164" showAll="0"/>
    <pivotField numFmtId="164" showAll="0"/>
    <pivotField numFmtId="1" showAll="0"/>
  </pivotFields>
  <rowItems count="1">
    <i/>
  </rowItems>
  <colItems count="1">
    <i/>
  </colItems>
  <dataFields count="1">
    <dataField name="Sum of Unemployment_Rat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T24:AU30" firstHeaderRow="1" firstDataRow="1" firstDataCol="1"/>
  <pivotFields count="6">
    <pivotField axis="axisRow" numFmtId="1" showAll="0">
      <items count="6">
        <item x="0"/>
        <item x="1"/>
        <item x="2"/>
        <item x="3"/>
        <item x="4"/>
        <item t="default"/>
      </items>
    </pivotField>
    <pivotField showAll="0">
      <items count="3">
        <item x="1"/>
        <item x="0"/>
        <item t="default"/>
      </items>
    </pivotField>
    <pivotField numFmtId="164" showAll="0"/>
    <pivotField numFmtId="164" showAll="0"/>
    <pivotField dataField="1" numFmtId="1" showAll="0"/>
    <pivotField showAll="0"/>
  </pivotFields>
  <rowFields count="1">
    <field x="0"/>
  </rowFields>
  <rowItems count="6">
    <i>
      <x/>
    </i>
    <i>
      <x v="1"/>
    </i>
    <i>
      <x v="2"/>
    </i>
    <i>
      <x v="3"/>
    </i>
    <i>
      <x v="4"/>
    </i>
    <i t="grand">
      <x/>
    </i>
  </rowItems>
  <colItems count="1">
    <i/>
  </colItems>
  <dataFields count="1">
    <dataField name="Sum of Population_Million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J30:AL47" firstHeaderRow="1" firstDataRow="1" firstDataCol="0"/>
  <pivotFields count="6">
    <pivotField numFmtId="1" showAll="0"/>
    <pivotField showAll="0">
      <items count="3">
        <item x="1"/>
        <item x="0"/>
        <item t="default"/>
      </items>
    </pivotField>
    <pivotField numFmtId="164" showAll="0"/>
    <pivotField numFmtId="164" showAll="0"/>
    <pivotField numFmtId="1"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P9:Q12" firstHeaderRow="1" firstDataRow="1" firstDataCol="1"/>
  <pivotFields count="6">
    <pivotField numFmtId="1" showAll="0"/>
    <pivotField axis="axisRow" showAll="0">
      <items count="3">
        <item x="1"/>
        <item x="0"/>
        <item t="default"/>
      </items>
    </pivotField>
    <pivotField numFmtId="164" showAll="0"/>
    <pivotField dataField="1" numFmtId="164" showAll="0"/>
    <pivotField numFmtId="1" showAll="0"/>
    <pivotField showAll="0"/>
  </pivotFields>
  <rowFields count="1">
    <field x="1"/>
  </rowFields>
  <rowItems count="3">
    <i>
      <x/>
    </i>
    <i>
      <x v="1"/>
    </i>
    <i t="grand">
      <x/>
    </i>
  </rowItems>
  <colItems count="1">
    <i/>
  </colItems>
  <dataFields count="1">
    <dataField name="Sum of Youth_Unemployment" fld="3"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0" format="3"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S14:T20" firstHeaderRow="1" firstDataRow="1" firstDataCol="1"/>
  <pivotFields count="6">
    <pivotField axis="axisRow" numFmtId="1" showAll="0">
      <items count="6">
        <item x="0"/>
        <item x="1"/>
        <item x="2"/>
        <item x="3"/>
        <item x="4"/>
        <item t="default"/>
      </items>
    </pivotField>
    <pivotField showAll="0">
      <items count="3">
        <item x="1"/>
        <item x="0"/>
        <item t="default"/>
      </items>
    </pivotField>
    <pivotField numFmtId="164" showAll="0"/>
    <pivotField numFmtId="164" showAll="0"/>
    <pivotField dataField="1" numFmtId="1" showAll="0">
      <items count="11">
        <item x="5"/>
        <item x="6"/>
        <item x="7"/>
        <item x="8"/>
        <item x="9"/>
        <item x="0"/>
        <item x="1"/>
        <item x="2"/>
        <item x="3"/>
        <item x="4"/>
        <item t="default"/>
      </items>
    </pivotField>
    <pivotField showAll="0"/>
  </pivotFields>
  <rowFields count="1">
    <field x="0"/>
  </rowFields>
  <rowItems count="6">
    <i>
      <x/>
    </i>
    <i>
      <x v="1"/>
    </i>
    <i>
      <x v="2"/>
    </i>
    <i>
      <x v="3"/>
    </i>
    <i>
      <x v="4"/>
    </i>
    <i t="grand">
      <x/>
    </i>
  </rowItems>
  <colItems count="1">
    <i/>
  </colItems>
  <dataFields count="1">
    <dataField name="Sum of Population_Million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PivotTable8"/>
    <pivotTable tabId="2" name="PivotTable1"/>
    <pivotTable tabId="2" name="PivotTable4"/>
    <pivotTable tabId="2" name="PivotTable6"/>
    <pivotTable tabId="2" name="PivotTable7"/>
    <pivotTable tabId="2" name="PivotTable9"/>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style="SlicerStyleLight5"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ountry 1" cache="Slicer_Country" caption="Country" style="SlicerStyleDark5" rowHeight="241300"/>
</slicers>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U47"/>
  <sheetViews>
    <sheetView topLeftCell="A19" zoomScale="115" zoomScaleNormal="115" workbookViewId="0">
      <selection activeCell="A25" sqref="A25"/>
    </sheetView>
  </sheetViews>
  <sheetFormatPr defaultRowHeight="14.5" x14ac:dyDescent="0.35"/>
  <cols>
    <col min="1" max="1" width="25.26953125" bestFit="1" customWidth="1"/>
    <col min="2" max="2" width="15.26953125" bestFit="1" customWidth="1"/>
    <col min="3" max="3" width="6.7265625" customWidth="1"/>
    <col min="4" max="4" width="10.7265625" customWidth="1"/>
    <col min="5" max="8" width="4.81640625" customWidth="1"/>
    <col min="9" max="9" width="6.7265625" customWidth="1"/>
    <col min="10" max="10" width="10.7265625" customWidth="1"/>
    <col min="11" max="13" width="4.81640625" customWidth="1"/>
    <col min="14" max="14" width="6.7265625" customWidth="1"/>
    <col min="15" max="15" width="10.7265625" bestFit="1" customWidth="1"/>
    <col min="16" max="16" width="12.36328125" bestFit="1" customWidth="1"/>
    <col min="17" max="17" width="26.453125" bestFit="1" customWidth="1"/>
    <col min="19" max="19" width="12.36328125" customWidth="1"/>
    <col min="20" max="20" width="24.08984375" bestFit="1" customWidth="1"/>
    <col min="23" max="23" width="24.08984375" bestFit="1" customWidth="1"/>
    <col min="24" max="24" width="15.26953125" bestFit="1" customWidth="1"/>
    <col min="25" max="25" width="6.7265625" customWidth="1"/>
    <col min="26" max="26" width="10.7265625" bestFit="1" customWidth="1"/>
    <col min="28" max="28" width="12.36328125" customWidth="1"/>
    <col min="29" max="29" width="25.26953125" customWidth="1"/>
    <col min="30" max="30" width="15.26953125" bestFit="1" customWidth="1"/>
    <col min="31" max="31" width="15.26953125" customWidth="1"/>
    <col min="32" max="33" width="15.26953125" bestFit="1" customWidth="1"/>
    <col min="34" max="34" width="15.26953125" customWidth="1"/>
    <col min="35" max="37" width="15.26953125" bestFit="1" customWidth="1"/>
    <col min="38" max="38" width="10.7265625" bestFit="1" customWidth="1"/>
    <col min="43" max="43" width="12.36328125" bestFit="1" customWidth="1"/>
    <col min="46" max="46" width="12.36328125" bestFit="1" customWidth="1"/>
    <col min="47" max="47" width="24.08984375" bestFit="1" customWidth="1"/>
  </cols>
  <sheetData>
    <row r="3" spans="1:34" x14ac:dyDescent="0.35">
      <c r="A3" s="1" t="s">
        <v>5</v>
      </c>
      <c r="B3" s="1" t="s">
        <v>4</v>
      </c>
      <c r="AH3" s="1" t="s">
        <v>2</v>
      </c>
    </row>
    <row r="4" spans="1:34" x14ac:dyDescent="0.35">
      <c r="A4" s="1" t="s">
        <v>2</v>
      </c>
      <c r="B4" t="s">
        <v>1</v>
      </c>
      <c r="C4" t="s">
        <v>0</v>
      </c>
      <c r="D4" t="s">
        <v>3</v>
      </c>
      <c r="H4" s="1" t="s">
        <v>2</v>
      </c>
      <c r="I4" t="s">
        <v>5</v>
      </c>
      <c r="AE4" t="s">
        <v>5</v>
      </c>
      <c r="AH4" s="15">
        <v>6.7</v>
      </c>
    </row>
    <row r="5" spans="1:34" x14ac:dyDescent="0.35">
      <c r="A5" s="3">
        <v>2018</v>
      </c>
      <c r="B5" s="2">
        <v>6.7</v>
      </c>
      <c r="C5" s="2">
        <v>23.1</v>
      </c>
      <c r="D5" s="2">
        <v>29.8</v>
      </c>
      <c r="H5" s="3">
        <v>2018</v>
      </c>
      <c r="I5" s="2">
        <v>29.8</v>
      </c>
      <c r="AE5" s="2">
        <v>183.99999999999997</v>
      </c>
      <c r="AH5" s="15">
        <v>7.1</v>
      </c>
    </row>
    <row r="6" spans="1:34" x14ac:dyDescent="0.35">
      <c r="A6" s="3">
        <v>2019</v>
      </c>
      <c r="B6" s="2">
        <v>7.1</v>
      </c>
      <c r="C6" s="2">
        <v>27.1</v>
      </c>
      <c r="D6" s="2">
        <v>34.200000000000003</v>
      </c>
      <c r="H6" s="3">
        <v>2019</v>
      </c>
      <c r="I6" s="2">
        <v>34.200000000000003</v>
      </c>
      <c r="AH6" s="15">
        <v>7.2</v>
      </c>
    </row>
    <row r="7" spans="1:34" x14ac:dyDescent="0.35">
      <c r="A7" s="3">
        <v>2020</v>
      </c>
      <c r="B7" s="2">
        <v>8.5</v>
      </c>
      <c r="C7" s="2">
        <v>33.299999999999997</v>
      </c>
      <c r="D7" s="2">
        <v>41.8</v>
      </c>
      <c r="H7" s="3">
        <v>2020</v>
      </c>
      <c r="I7" s="2">
        <v>41.8</v>
      </c>
      <c r="AH7" s="15">
        <v>7.9</v>
      </c>
    </row>
    <row r="8" spans="1:34" x14ac:dyDescent="0.35">
      <c r="A8" s="3">
        <v>2021</v>
      </c>
      <c r="B8" s="2">
        <v>7.9</v>
      </c>
      <c r="C8" s="2">
        <v>32.5</v>
      </c>
      <c r="D8" s="2">
        <v>40.4</v>
      </c>
      <c r="H8" s="3">
        <v>2021</v>
      </c>
      <c r="I8" s="2">
        <v>40.4</v>
      </c>
      <c r="W8" s="1" t="s">
        <v>7</v>
      </c>
      <c r="X8" s="1" t="s">
        <v>4</v>
      </c>
      <c r="AH8" s="15">
        <v>8.5</v>
      </c>
    </row>
    <row r="9" spans="1:34" x14ac:dyDescent="0.35">
      <c r="A9" s="3">
        <v>2022</v>
      </c>
      <c r="B9" s="2">
        <v>7.2</v>
      </c>
      <c r="C9" s="2">
        <v>30.6</v>
      </c>
      <c r="D9" s="2">
        <v>37.800000000000004</v>
      </c>
      <c r="H9" s="3">
        <v>2022</v>
      </c>
      <c r="I9" s="2">
        <v>37.800000000000004</v>
      </c>
      <c r="P9" s="1" t="s">
        <v>2</v>
      </c>
      <c r="Q9" t="s">
        <v>6</v>
      </c>
      <c r="W9" s="1" t="s">
        <v>2</v>
      </c>
      <c r="X9" t="s">
        <v>1</v>
      </c>
      <c r="Y9" t="s">
        <v>0</v>
      </c>
      <c r="Z9" t="s">
        <v>3</v>
      </c>
      <c r="AH9" s="15">
        <v>23.1</v>
      </c>
    </row>
    <row r="10" spans="1:34" x14ac:dyDescent="0.35">
      <c r="A10" s="3" t="s">
        <v>3</v>
      </c>
      <c r="B10" s="2">
        <v>37.400000000000006</v>
      </c>
      <c r="C10" s="2">
        <v>146.6</v>
      </c>
      <c r="D10" s="2">
        <v>184</v>
      </c>
      <c r="H10" s="3" t="s">
        <v>3</v>
      </c>
      <c r="I10" s="2">
        <v>184</v>
      </c>
      <c r="O10">
        <f>GETPIVOTDATA("Unemployment_Rate",Sheet2!$AE$4)</f>
        <v>183.99999999999997</v>
      </c>
      <c r="P10" s="13" t="s">
        <v>1</v>
      </c>
      <c r="Q10" s="2">
        <v>66</v>
      </c>
      <c r="W10" s="3">
        <v>2018</v>
      </c>
      <c r="X10" s="2">
        <v>29</v>
      </c>
      <c r="Y10" s="2">
        <v>195</v>
      </c>
      <c r="Z10" s="2">
        <v>224</v>
      </c>
      <c r="AF10" s="2"/>
      <c r="AH10" s="15">
        <v>27.1</v>
      </c>
    </row>
    <row r="11" spans="1:34" x14ac:dyDescent="0.35">
      <c r="P11" s="13" t="s">
        <v>0</v>
      </c>
      <c r="Q11" s="2">
        <v>198.8</v>
      </c>
      <c r="W11" s="3">
        <v>2019</v>
      </c>
      <c r="X11" s="2">
        <v>30</v>
      </c>
      <c r="Y11" s="2">
        <v>200</v>
      </c>
      <c r="Z11" s="2">
        <v>230</v>
      </c>
      <c r="AH11" s="15">
        <v>30.6</v>
      </c>
    </row>
    <row r="12" spans="1:34" x14ac:dyDescent="0.35">
      <c r="P12" s="13" t="s">
        <v>3</v>
      </c>
      <c r="Q12" s="2">
        <v>264.8</v>
      </c>
      <c r="W12" s="3">
        <v>2020</v>
      </c>
      <c r="X12" s="2">
        <v>31</v>
      </c>
      <c r="Y12" s="2">
        <v>206</v>
      </c>
      <c r="Z12" s="2">
        <v>237</v>
      </c>
      <c r="AH12" s="15">
        <v>32.5</v>
      </c>
    </row>
    <row r="13" spans="1:34" x14ac:dyDescent="0.35">
      <c r="W13" s="3">
        <v>2021</v>
      </c>
      <c r="X13" s="2">
        <v>32</v>
      </c>
      <c r="Y13" s="2">
        <v>211</v>
      </c>
      <c r="Z13" s="2">
        <v>243</v>
      </c>
      <c r="AH13" s="15">
        <v>33.299999999999997</v>
      </c>
    </row>
    <row r="14" spans="1:34" x14ac:dyDescent="0.35">
      <c r="S14" s="1" t="s">
        <v>2</v>
      </c>
      <c r="T14" t="s">
        <v>7</v>
      </c>
      <c r="W14" s="3">
        <v>2022</v>
      </c>
      <c r="X14" s="2">
        <v>33</v>
      </c>
      <c r="Y14" s="2">
        <v>216</v>
      </c>
      <c r="Z14" s="2">
        <v>249</v>
      </c>
      <c r="AH14" s="15" t="s">
        <v>3</v>
      </c>
    </row>
    <row r="15" spans="1:34" x14ac:dyDescent="0.35">
      <c r="S15" s="3">
        <v>2018</v>
      </c>
      <c r="T15" s="2">
        <v>224</v>
      </c>
      <c r="W15" s="3" t="s">
        <v>3</v>
      </c>
      <c r="X15" s="2">
        <v>155</v>
      </c>
      <c r="Y15" s="2">
        <v>1028</v>
      </c>
      <c r="Z15" s="2">
        <v>1183</v>
      </c>
      <c r="AB15" s="1" t="s">
        <v>2</v>
      </c>
      <c r="AC15" t="s">
        <v>5</v>
      </c>
    </row>
    <row r="16" spans="1:34" x14ac:dyDescent="0.35">
      <c r="S16" s="3">
        <v>2019</v>
      </c>
      <c r="T16" s="2">
        <v>230</v>
      </c>
      <c r="AB16" s="3">
        <v>2018</v>
      </c>
      <c r="AC16" s="2">
        <v>29.8</v>
      </c>
    </row>
    <row r="17" spans="3:47" x14ac:dyDescent="0.35">
      <c r="S17" s="3">
        <v>2020</v>
      </c>
      <c r="T17" s="2">
        <v>237</v>
      </c>
      <c r="AB17" s="3">
        <v>2019</v>
      </c>
      <c r="AC17" s="2">
        <v>34.200000000000003</v>
      </c>
    </row>
    <row r="18" spans="3:47" x14ac:dyDescent="0.35">
      <c r="C18" s="4"/>
      <c r="D18" s="5"/>
      <c r="E18" s="6"/>
      <c r="S18" s="3">
        <v>2021</v>
      </c>
      <c r="T18" s="2">
        <v>243</v>
      </c>
      <c r="AB18" s="3">
        <v>2020</v>
      </c>
      <c r="AC18" s="2">
        <v>41.8</v>
      </c>
      <c r="AE18" s="14">
        <v>184</v>
      </c>
    </row>
    <row r="19" spans="3:47" x14ac:dyDescent="0.35">
      <c r="C19" s="7"/>
      <c r="D19" s="8"/>
      <c r="E19" s="9"/>
      <c r="S19" s="3">
        <v>2022</v>
      </c>
      <c r="T19" s="2">
        <v>249</v>
      </c>
      <c r="AB19" s="3">
        <v>2021</v>
      </c>
      <c r="AC19" s="2">
        <v>40.4</v>
      </c>
    </row>
    <row r="20" spans="3:47" x14ac:dyDescent="0.35">
      <c r="C20" s="7"/>
      <c r="D20" s="8"/>
      <c r="E20" s="9"/>
      <c r="S20" s="3" t="s">
        <v>3</v>
      </c>
      <c r="T20" s="2">
        <v>1183</v>
      </c>
      <c r="AB20" s="3">
        <v>2022</v>
      </c>
      <c r="AC20" s="2">
        <v>37.800000000000004</v>
      </c>
    </row>
    <row r="21" spans="3:47" x14ac:dyDescent="0.35">
      <c r="C21" s="7"/>
      <c r="D21" s="8"/>
      <c r="E21" s="9"/>
      <c r="V21" s="14">
        <v>1183</v>
      </c>
      <c r="AB21" s="3" t="s">
        <v>3</v>
      </c>
      <c r="AC21" s="2">
        <v>184</v>
      </c>
    </row>
    <row r="22" spans="3:47" x14ac:dyDescent="0.35">
      <c r="C22" s="7"/>
      <c r="D22" s="8"/>
      <c r="E22" s="9"/>
    </row>
    <row r="23" spans="3:47" x14ac:dyDescent="0.35">
      <c r="C23" s="7"/>
      <c r="D23" s="8"/>
      <c r="E23" s="9"/>
    </row>
    <row r="24" spans="3:47" x14ac:dyDescent="0.35">
      <c r="C24" s="7"/>
      <c r="D24" s="8"/>
      <c r="E24" s="9"/>
      <c r="AT24" s="1" t="s">
        <v>2</v>
      </c>
      <c r="AU24" t="s">
        <v>7</v>
      </c>
    </row>
    <row r="25" spans="3:47" x14ac:dyDescent="0.35">
      <c r="C25" s="7"/>
      <c r="D25" s="8"/>
      <c r="E25" s="9"/>
      <c r="AT25" s="3">
        <v>2018</v>
      </c>
      <c r="AU25" s="2">
        <v>224</v>
      </c>
    </row>
    <row r="26" spans="3:47" x14ac:dyDescent="0.35">
      <c r="C26" s="7"/>
      <c r="D26" s="8"/>
      <c r="E26" s="9"/>
      <c r="AT26" s="3">
        <v>2019</v>
      </c>
      <c r="AU26" s="2">
        <v>230</v>
      </c>
    </row>
    <row r="27" spans="3:47" x14ac:dyDescent="0.35">
      <c r="C27" s="7"/>
      <c r="D27" s="8"/>
      <c r="E27" s="9"/>
      <c r="AT27" s="3">
        <v>2020</v>
      </c>
      <c r="AU27" s="2">
        <v>237</v>
      </c>
    </row>
    <row r="28" spans="3:47" x14ac:dyDescent="0.35">
      <c r="C28" s="7"/>
      <c r="D28" s="8"/>
      <c r="E28" s="9"/>
      <c r="AT28" s="3">
        <v>2021</v>
      </c>
      <c r="AU28" s="2">
        <v>243</v>
      </c>
    </row>
    <row r="29" spans="3:47" x14ac:dyDescent="0.35">
      <c r="C29" s="7"/>
      <c r="D29" s="8"/>
      <c r="E29" s="9"/>
      <c r="AT29" s="3">
        <v>2022</v>
      </c>
      <c r="AU29" s="2">
        <v>249</v>
      </c>
    </row>
    <row r="30" spans="3:47" x14ac:dyDescent="0.35">
      <c r="C30" s="7"/>
      <c r="D30" s="8"/>
      <c r="E30" s="9"/>
      <c r="AJ30" s="4"/>
      <c r="AK30" s="5"/>
      <c r="AL30" s="6"/>
      <c r="AQ30" s="1" t="s">
        <v>2</v>
      </c>
      <c r="AT30" s="3" t="s">
        <v>3</v>
      </c>
      <c r="AU30" s="2">
        <v>1183</v>
      </c>
    </row>
    <row r="31" spans="3:47" x14ac:dyDescent="0.35">
      <c r="C31" s="7"/>
      <c r="D31" s="8"/>
      <c r="E31" s="9"/>
      <c r="AJ31" s="7"/>
      <c r="AK31" s="8"/>
      <c r="AL31" s="9"/>
      <c r="AQ31" s="13" t="s">
        <v>1</v>
      </c>
    </row>
    <row r="32" spans="3:47" x14ac:dyDescent="0.35">
      <c r="C32" s="7"/>
      <c r="D32" s="8"/>
      <c r="E32" s="9"/>
      <c r="AJ32" s="7"/>
      <c r="AK32" s="8"/>
      <c r="AL32" s="9"/>
      <c r="AQ32" s="13" t="s">
        <v>0</v>
      </c>
    </row>
    <row r="33" spans="3:43" x14ac:dyDescent="0.35">
      <c r="C33" s="7"/>
      <c r="D33" s="8"/>
      <c r="E33" s="9"/>
      <c r="AJ33" s="7"/>
      <c r="AK33" s="8"/>
      <c r="AL33" s="9"/>
      <c r="AQ33" s="13" t="s">
        <v>3</v>
      </c>
    </row>
    <row r="34" spans="3:43" x14ac:dyDescent="0.35">
      <c r="C34" s="7"/>
      <c r="D34" s="8"/>
      <c r="E34" s="9"/>
      <c r="AJ34" s="7"/>
      <c r="AK34" s="8"/>
      <c r="AL34" s="9"/>
    </row>
    <row r="35" spans="3:43" x14ac:dyDescent="0.35">
      <c r="C35" s="10"/>
      <c r="D35" s="11"/>
      <c r="E35" s="12"/>
      <c r="AJ35" s="7"/>
      <c r="AK35" s="8"/>
      <c r="AL35" s="9"/>
    </row>
    <row r="36" spans="3:43" x14ac:dyDescent="0.35">
      <c r="AJ36" s="7"/>
      <c r="AK36" s="8"/>
      <c r="AL36" s="9"/>
    </row>
    <row r="37" spans="3:43" x14ac:dyDescent="0.35">
      <c r="AJ37" s="7"/>
      <c r="AK37" s="8"/>
      <c r="AL37" s="9"/>
    </row>
    <row r="38" spans="3:43" x14ac:dyDescent="0.35">
      <c r="AJ38" s="7"/>
      <c r="AK38" s="8"/>
      <c r="AL38" s="9"/>
    </row>
    <row r="39" spans="3:43" x14ac:dyDescent="0.35">
      <c r="AJ39" s="7"/>
      <c r="AK39" s="8"/>
      <c r="AL39" s="9"/>
    </row>
    <row r="40" spans="3:43" x14ac:dyDescent="0.35">
      <c r="AJ40" s="7"/>
      <c r="AK40" s="8"/>
      <c r="AL40" s="9"/>
    </row>
    <row r="41" spans="3:43" x14ac:dyDescent="0.35">
      <c r="AJ41" s="7"/>
      <c r="AK41" s="8"/>
      <c r="AL41" s="9"/>
    </row>
    <row r="42" spans="3:43" x14ac:dyDescent="0.35">
      <c r="AJ42" s="7"/>
      <c r="AK42" s="8"/>
      <c r="AL42" s="9"/>
    </row>
    <row r="43" spans="3:43" x14ac:dyDescent="0.35">
      <c r="AJ43" s="7"/>
      <c r="AK43" s="8"/>
      <c r="AL43" s="9"/>
    </row>
    <row r="44" spans="3:43" x14ac:dyDescent="0.35">
      <c r="AJ44" s="7"/>
      <c r="AK44" s="8"/>
      <c r="AL44" s="9"/>
    </row>
    <row r="45" spans="3:43" x14ac:dyDescent="0.35">
      <c r="AJ45" s="7"/>
      <c r="AK45" s="8"/>
      <c r="AL45" s="9"/>
    </row>
    <row r="46" spans="3:43" x14ac:dyDescent="0.35">
      <c r="AJ46" s="7"/>
      <c r="AK46" s="8"/>
      <c r="AL46" s="9"/>
    </row>
    <row r="47" spans="3:43" x14ac:dyDescent="0.35">
      <c r="AJ47" s="10"/>
      <c r="AK47" s="11"/>
      <c r="AL47" s="12"/>
    </row>
  </sheetData>
  <pageMargins left="0.7" right="0.7" top="0.75" bottom="0.75" header="0.3" footer="0.3"/>
  <pageSetup orientation="portrait" r:id="rId13"/>
  <drawing r:id="rId14"/>
  <extLst>
    <ext xmlns:x14="http://schemas.microsoft.com/office/spreadsheetml/2009/9/main" uri="{05C60535-1F16-4fd2-B633-F4F36F0B64E0}">
      <x14:sparklineGroups xmlns:xm="http://schemas.microsoft.com/office/excel/2006/main">
        <x14:sparklineGroup displayEmptyCellsAs="gap">
          <x14:colorSeries rgb="FF323232"/>
          <x14:colorNegative rgb="FFD00000"/>
          <x14:colorAxis rgb="FF000000"/>
          <x14:colorMarkers rgb="FFD00000"/>
          <x14:colorFirst rgb="FFD00000"/>
          <x14:colorLast rgb="FFD00000"/>
          <x14:colorHigh rgb="FFD00000"/>
          <x14:colorLow rgb="FFD00000"/>
          <x14:sparklines>
            <x14:sparkline>
              <xm:f>Sheet2!H4</xm:f>
              <xm:sqref>E16</xm:sqref>
            </x14:sparkline>
          </x14:sparklines>
        </x14:sparklineGroup>
      </x14:sparklineGroups>
    </ex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 Olajumoke</dc:creator>
  <cp:lastModifiedBy>Ibrahim Olajumoke</cp:lastModifiedBy>
  <dcterms:created xsi:type="dcterms:W3CDTF">2025-12-03T16:35:04Z</dcterms:created>
  <dcterms:modified xsi:type="dcterms:W3CDTF">2025-12-18T10:58:57Z</dcterms:modified>
</cp:coreProperties>
</file>